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Pesquisa operacional\"/>
    </mc:Choice>
  </mc:AlternateContent>
  <xr:revisionPtr revIDLastSave="0" documentId="13_ncr:1_{88170D60-2A84-4287-AEC0-AB6FCD99C3BA}" xr6:coauthVersionLast="36" xr6:coauthVersionMax="36" xr10:uidLastSave="{00000000-0000-0000-0000-000000000000}"/>
  <bookViews>
    <workbookView xWindow="0" yWindow="0" windowWidth="23040" windowHeight="10284" xr2:uid="{C361FF36-484F-4EB0-BB05-A513471EDD61}"/>
  </bookViews>
  <sheets>
    <sheet name="Variáveis de decisão" sheetId="1" r:id="rId1"/>
    <sheet name="INSTRUÇÕES" sheetId="2" r:id="rId2"/>
    <sheet name="Planilha3" sheetId="3" r:id="rId3"/>
  </sheets>
  <definedNames>
    <definedName name="solver_adj" localSheetId="0" hidden="1">'Variáveis de decisão'!$J$7:$N$9</definedName>
    <definedName name="solver_cvg" localSheetId="0" hidden="1">0.0001</definedName>
    <definedName name="solver_drv" localSheetId="0" hidden="1">1</definedName>
    <definedName name="solver_eng" localSheetId="2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'Variáveis de decisão'!$A$13:$A$15</definedName>
    <definedName name="solver_lhs2" localSheetId="0" hidden="1">'Variáveis de decisão'!$A$17:$A$21</definedName>
    <definedName name="solver_lhs3" localSheetId="0" hidden="1">'Variáveis de decisão'!$J$7:$N$9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2" hidden="1">1</definedName>
    <definedName name="solver_neg" localSheetId="0" hidden="1">1</definedName>
    <definedName name="solver_nod" localSheetId="0" hidden="1">2147483647</definedName>
    <definedName name="solver_num" localSheetId="2" hidden="1">0</definedName>
    <definedName name="solver_num" localSheetId="0" hidden="1">3</definedName>
    <definedName name="solver_nwt" localSheetId="0" hidden="1">1</definedName>
    <definedName name="solver_opt" localSheetId="2" hidden="1">Planilha3!$A$1</definedName>
    <definedName name="solver_opt" localSheetId="0" hidden="1">'Variáveis de decisão'!$J$20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4</definedName>
    <definedName name="solver_rhs1" localSheetId="0" hidden="1">'Variáveis de decisão'!$C$13:$C$15</definedName>
    <definedName name="solver_rhs2" localSheetId="0" hidden="1">'Variáveis de decisão'!$C$17:$C$21</definedName>
    <definedName name="solver_rhs3" localSheetId="0" hidden="1">número inteiro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2" hidden="1">1</definedName>
    <definedName name="solver_typ" localSheetId="0" hidden="1">2</definedName>
    <definedName name="solver_val" localSheetId="2" hidden="1">0</definedName>
    <definedName name="solver_val" localSheetId="0" hidden="1">0</definedName>
    <definedName name="solver_ver" localSheetId="2" hidden="1">3</definedName>
    <definedName name="solver_ver" localSheetId="0" hidden="1">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A21" i="1"/>
  <c r="A20" i="1"/>
  <c r="A19" i="1"/>
  <c r="A18" i="1"/>
  <c r="A17" i="1"/>
  <c r="A15" i="1"/>
  <c r="A14" i="1"/>
  <c r="A13" i="1"/>
  <c r="N20" i="1"/>
  <c r="J20" i="1"/>
</calcChain>
</file>

<file path=xl/sharedStrings.xml><?xml version="1.0" encoding="utf-8"?>
<sst xmlns="http://schemas.openxmlformats.org/spreadsheetml/2006/main" count="86" uniqueCount="44">
  <si>
    <t>RJ</t>
  </si>
  <si>
    <t>SP</t>
  </si>
  <si>
    <t>BA</t>
  </si>
  <si>
    <t>AM</t>
  </si>
  <si>
    <t>RS</t>
  </si>
  <si>
    <t>PORTO ALEGRE</t>
  </si>
  <si>
    <t>RECIFE</t>
  </si>
  <si>
    <t>BH</t>
  </si>
  <si>
    <t>ESTOQUE</t>
  </si>
  <si>
    <t>PEDIDO DO CLIENTE</t>
  </si>
  <si>
    <t>FÁBRICAS</t>
  </si>
  <si>
    <t>FUNÇÃO OBJETIVO</t>
  </si>
  <si>
    <t>VARIÁVEIS DE DECISÃO</t>
  </si>
  <si>
    <t>RESTRIÇÕES</t>
  </si>
  <si>
    <t>Xij...</t>
  </si>
  <si>
    <t>Quantidade de produtos fabricados na planta "i" que serão entregues no Cliente "J".</t>
  </si>
  <si>
    <t>CT</t>
  </si>
  <si>
    <t>VARIAVÉIS DE DECISÃO</t>
  </si>
  <si>
    <t>TABELA DE CUSTOS UNITÁRIOS</t>
  </si>
  <si>
    <t>MINIMIZAR</t>
  </si>
  <si>
    <t>X11+X12+X13+X14+X15</t>
  </si>
  <si>
    <t>≤</t>
  </si>
  <si>
    <t>X21+X22+X23+X24+X25</t>
  </si>
  <si>
    <t>X31+X32+X33+X34X35</t>
  </si>
  <si>
    <t>≥</t>
  </si>
  <si>
    <t>X11+X21+X31</t>
  </si>
  <si>
    <t>X12+X22+X32</t>
  </si>
  <si>
    <t>X13+X23+33</t>
  </si>
  <si>
    <t>X14+X24+X34</t>
  </si>
  <si>
    <t>X15+X25+X35</t>
  </si>
  <si>
    <t>VOU ENVIAR</t>
  </si>
  <si>
    <t>POA</t>
  </si>
  <si>
    <t>CAPACIDADE DE PRODUÇÃO</t>
  </si>
  <si>
    <t>PEDIDOS DO CLIENTE</t>
  </si>
  <si>
    <r>
      <t>Como minimizar o Custo de Transporte para atenter as Demandas dos Centros de Distribuição de</t>
    </r>
    <r>
      <rPr>
        <b/>
        <sz val="16"/>
        <color theme="1"/>
        <rFont val="Arial"/>
        <family val="2"/>
      </rPr>
      <t xml:space="preserve"> RJ</t>
    </r>
    <r>
      <rPr>
        <b/>
        <sz val="16"/>
        <color rgb="FFFF0000"/>
        <rFont val="Arial"/>
        <family val="2"/>
      </rPr>
      <t xml:space="preserve"> (180</t>
    </r>
    <r>
      <rPr>
        <b/>
        <sz val="16"/>
        <color theme="1"/>
        <rFont val="Arial"/>
        <family val="2"/>
      </rPr>
      <t>)</t>
    </r>
    <r>
      <rPr>
        <sz val="16"/>
        <color theme="1"/>
        <rFont val="Arial"/>
        <family val="2"/>
      </rPr>
      <t>,</t>
    </r>
    <r>
      <rPr>
        <b/>
        <sz val="16"/>
        <color theme="1"/>
        <rFont val="Arial"/>
        <family val="2"/>
      </rPr>
      <t xml:space="preserve"> BA </t>
    </r>
    <r>
      <rPr>
        <b/>
        <sz val="16"/>
        <color rgb="FFFF0000"/>
        <rFont val="Arial"/>
        <family val="2"/>
      </rPr>
      <t>(200 )</t>
    </r>
    <r>
      <rPr>
        <sz val="16"/>
        <color theme="1"/>
        <rFont val="Arial"/>
        <family val="2"/>
      </rPr>
      <t>,</t>
    </r>
    <r>
      <rPr>
        <b/>
        <sz val="16"/>
        <color theme="1"/>
        <rFont val="Arial"/>
        <family val="2"/>
      </rPr>
      <t xml:space="preserve"> AM </t>
    </r>
    <r>
      <rPr>
        <b/>
        <sz val="16"/>
        <color rgb="FFFF0000"/>
        <rFont val="Arial"/>
        <family val="2"/>
      </rPr>
      <t>(160)</t>
    </r>
    <r>
      <rPr>
        <sz val="16"/>
        <color theme="1"/>
        <rFont val="Arial"/>
        <family val="2"/>
      </rPr>
      <t>,</t>
    </r>
    <r>
      <rPr>
        <b/>
        <sz val="16"/>
        <color theme="1"/>
        <rFont val="Arial"/>
        <family val="2"/>
      </rPr>
      <t xml:space="preserve"> RS </t>
    </r>
    <r>
      <rPr>
        <b/>
        <sz val="16"/>
        <color rgb="FFFF0000"/>
        <rFont val="Arial"/>
        <family val="2"/>
      </rPr>
      <t>(220</t>
    </r>
    <r>
      <rPr>
        <sz val="16"/>
        <color theme="1"/>
        <rFont val="Arial"/>
        <family val="2"/>
      </rPr>
      <t xml:space="preserve">) a partir dos Estoques das Fabricas de </t>
    </r>
    <r>
      <rPr>
        <b/>
        <sz val="16"/>
        <color theme="1"/>
        <rFont val="Arial"/>
        <family val="2"/>
      </rPr>
      <t>Porto alegre</t>
    </r>
    <r>
      <rPr>
        <b/>
        <sz val="16"/>
        <color rgb="FFFF0000"/>
        <rFont val="Arial"/>
        <family val="2"/>
      </rPr>
      <t xml:space="preserve"> (310)</t>
    </r>
    <r>
      <rPr>
        <sz val="16"/>
        <color theme="1"/>
        <rFont val="Arial"/>
        <family val="2"/>
      </rPr>
      <t xml:space="preserve">, </t>
    </r>
    <r>
      <rPr>
        <b/>
        <sz val="16"/>
        <color theme="1"/>
        <rFont val="Arial"/>
        <family val="2"/>
      </rPr>
      <t>Recife</t>
    </r>
    <r>
      <rPr>
        <b/>
        <sz val="16"/>
        <color rgb="FFFF0000"/>
        <rFont val="Arial"/>
        <family val="2"/>
      </rPr>
      <t xml:space="preserve"> (260)</t>
    </r>
    <r>
      <rPr>
        <sz val="16"/>
        <color theme="1"/>
        <rFont val="Arial"/>
        <family val="2"/>
      </rPr>
      <t xml:space="preserve"> e</t>
    </r>
    <r>
      <rPr>
        <b/>
        <sz val="16"/>
        <color theme="1"/>
        <rFont val="Arial"/>
        <family val="2"/>
      </rPr>
      <t xml:space="preserve"> BH </t>
    </r>
    <r>
      <rPr>
        <b/>
        <sz val="16"/>
        <color rgb="FFFF0000"/>
        <rFont val="Arial"/>
        <family val="2"/>
      </rPr>
      <t>(280)</t>
    </r>
    <r>
      <rPr>
        <sz val="16"/>
        <color theme="1"/>
        <rFont val="Arial"/>
        <family val="2"/>
      </rPr>
      <t xml:space="preserve"> a partir dos seguintes custos de Transporte?</t>
    </r>
  </si>
  <si>
    <t>4° LP simplex</t>
  </si>
  <si>
    <t>Solver</t>
  </si>
  <si>
    <t>1° Celula da formula soma produto</t>
  </si>
  <si>
    <t>2° Selecionar minimo</t>
  </si>
  <si>
    <t>3° Celulas que vão ser modificadas tabela variáveis de decisão</t>
  </si>
  <si>
    <t>5° Adiconar restricões campo valores variaveis de decisão sinal de &gt;= ou &lt;= valores dos pedidos repetir</t>
  </si>
  <si>
    <t>6° Selecionar variaveis de decisão campo numero inteiro</t>
  </si>
  <si>
    <t>7° Resolver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</si>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</sst>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6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1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5" borderId="0" xfId="0" applyFont="1" applyFill="1"/>
    <xf numFmtId="0" fontId="2" fillId="5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4861981</xdr:colOff>
      <xdr:row>13</xdr:row>
      <xdr:rowOff>106680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3233842-064B-453D-85E2-CA8437501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7280"/>
          <a:ext cx="4861981" cy="1386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1732-FB3A-40B3-92D9-59716DC693F4}">
  <dimension ref="A1:N30"/>
  <sheetViews>
    <sheetView showGridLines="0" tabSelected="1" zoomScale="66" zoomScaleNormal="66" workbookViewId="0">
      <selection activeCell="M18" sqref="M18"/>
    </sheetView>
  </sheetViews>
  <sheetFormatPr defaultRowHeight="14.4" x14ac:dyDescent="0.3"/>
  <cols>
    <col min="1" max="1" width="32.77734375" bestFit="1" customWidth="1"/>
    <col min="2" max="2" width="10.88671875" customWidth="1"/>
    <col min="3" max="3" width="8.88671875" customWidth="1"/>
    <col min="4" max="4" width="15.5546875" customWidth="1"/>
    <col min="5" max="5" width="11.44140625" customWidth="1"/>
    <col min="6" max="6" width="10.33203125" customWidth="1"/>
    <col min="7" max="7" width="16.5546875" bestFit="1" customWidth="1"/>
    <col min="8" max="8" width="5" customWidth="1"/>
    <col min="9" max="9" width="30.77734375" bestFit="1" customWidth="1"/>
    <col min="12" max="13" width="17.44140625" bestFit="1" customWidth="1"/>
  </cols>
  <sheetData>
    <row r="1" spans="1:14" ht="14.4" customHeight="1" x14ac:dyDescent="0.3">
      <c r="A1" s="11" t="s">
        <v>34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</row>
    <row r="2" spans="1:14" ht="14.4" customHeight="1" x14ac:dyDescent="0.3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1:14" ht="14.4" customHeight="1" x14ac:dyDescent="0.3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</row>
    <row r="4" spans="1:14" ht="39.6" customHeight="1" x14ac:dyDescent="0.3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</row>
    <row r="5" spans="1:14" ht="21" x14ac:dyDescent="0.4">
      <c r="A5" s="21" t="s">
        <v>18</v>
      </c>
      <c r="B5" s="22"/>
      <c r="C5" s="22"/>
      <c r="D5" s="22"/>
      <c r="E5" s="22"/>
      <c r="F5" s="22"/>
      <c r="G5" s="23"/>
      <c r="H5" s="9"/>
      <c r="I5" s="24" t="s">
        <v>17</v>
      </c>
      <c r="J5" s="24"/>
      <c r="K5" s="24"/>
      <c r="L5" s="24"/>
      <c r="M5" s="24"/>
      <c r="N5" s="24"/>
    </row>
    <row r="6" spans="1:14" ht="20.399999999999999" x14ac:dyDescent="0.35">
      <c r="A6" s="7" t="s">
        <v>10</v>
      </c>
      <c r="B6" s="8" t="s">
        <v>0</v>
      </c>
      <c r="C6" s="8" t="s">
        <v>1</v>
      </c>
      <c r="D6" s="8" t="s">
        <v>2</v>
      </c>
      <c r="E6" s="8" t="s">
        <v>3</v>
      </c>
      <c r="F6" s="8" t="s">
        <v>4</v>
      </c>
      <c r="G6" s="8" t="s">
        <v>8</v>
      </c>
      <c r="H6" s="9"/>
      <c r="I6" s="7" t="s">
        <v>10</v>
      </c>
      <c r="J6" s="8" t="s">
        <v>0</v>
      </c>
      <c r="K6" s="8" t="s">
        <v>1</v>
      </c>
      <c r="L6" s="8" t="s">
        <v>2</v>
      </c>
      <c r="M6" s="8" t="s">
        <v>3</v>
      </c>
      <c r="N6" s="8" t="s">
        <v>4</v>
      </c>
    </row>
    <row r="7" spans="1:14" ht="20.399999999999999" x14ac:dyDescent="0.35">
      <c r="A7" s="7" t="s">
        <v>5</v>
      </c>
      <c r="B7" s="8">
        <v>10</v>
      </c>
      <c r="C7" s="8">
        <v>8</v>
      </c>
      <c r="D7" s="8">
        <v>6</v>
      </c>
      <c r="E7" s="8">
        <v>5</v>
      </c>
      <c r="F7" s="8">
        <v>4</v>
      </c>
      <c r="G7" s="8">
        <v>310</v>
      </c>
      <c r="H7" s="9"/>
      <c r="I7" s="7" t="s">
        <v>5</v>
      </c>
      <c r="J7" s="8">
        <v>0</v>
      </c>
      <c r="K7" s="8">
        <v>0</v>
      </c>
      <c r="L7" s="8">
        <v>0</v>
      </c>
      <c r="M7" s="8">
        <v>80</v>
      </c>
      <c r="N7" s="8">
        <v>220</v>
      </c>
    </row>
    <row r="8" spans="1:14" ht="20.399999999999999" x14ac:dyDescent="0.35">
      <c r="A8" s="7" t="s">
        <v>6</v>
      </c>
      <c r="B8" s="8">
        <v>6</v>
      </c>
      <c r="C8" s="8">
        <v>5</v>
      </c>
      <c r="D8" s="8">
        <v>4</v>
      </c>
      <c r="E8" s="8">
        <v>3</v>
      </c>
      <c r="F8" s="8">
        <v>6</v>
      </c>
      <c r="G8" s="8">
        <v>260</v>
      </c>
      <c r="H8" s="9"/>
      <c r="I8" s="7" t="s">
        <v>6</v>
      </c>
      <c r="J8" s="8">
        <v>0</v>
      </c>
      <c r="K8" s="8">
        <v>0</v>
      </c>
      <c r="L8" s="8">
        <v>180</v>
      </c>
      <c r="M8" s="8">
        <v>80</v>
      </c>
      <c r="N8" s="8">
        <v>0</v>
      </c>
    </row>
    <row r="9" spans="1:14" ht="20.399999999999999" x14ac:dyDescent="0.35">
      <c r="A9" s="7" t="s">
        <v>7</v>
      </c>
      <c r="B9" s="8">
        <v>3</v>
      </c>
      <c r="C9" s="8">
        <v>4</v>
      </c>
      <c r="D9" s="8">
        <v>5</v>
      </c>
      <c r="E9" s="8">
        <v>5</v>
      </c>
      <c r="F9" s="8">
        <v>9</v>
      </c>
      <c r="G9" s="8">
        <v>280</v>
      </c>
      <c r="H9" s="9"/>
      <c r="I9" s="7" t="s">
        <v>7</v>
      </c>
      <c r="J9" s="8">
        <v>180</v>
      </c>
      <c r="K9" s="8">
        <v>80</v>
      </c>
      <c r="L9" s="8">
        <v>20</v>
      </c>
      <c r="M9" s="8">
        <v>0</v>
      </c>
      <c r="N9" s="8">
        <v>0</v>
      </c>
    </row>
    <row r="10" spans="1:14" ht="20.399999999999999" x14ac:dyDescent="0.35">
      <c r="A10" s="7" t="s">
        <v>9</v>
      </c>
      <c r="B10" s="8">
        <v>180</v>
      </c>
      <c r="C10" s="8">
        <v>80</v>
      </c>
      <c r="D10" s="8">
        <v>200</v>
      </c>
      <c r="E10" s="8">
        <v>160</v>
      </c>
      <c r="F10" s="8">
        <v>220</v>
      </c>
      <c r="G10" s="8">
        <f>SUM(G7:G9)</f>
        <v>850</v>
      </c>
      <c r="H10" s="9"/>
      <c r="I10" s="9"/>
      <c r="J10" s="9"/>
      <c r="K10" s="9"/>
      <c r="L10" s="9"/>
      <c r="M10" s="9"/>
      <c r="N10" s="9"/>
    </row>
    <row r="11" spans="1:14" ht="20.399999999999999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ht="21" x14ac:dyDescent="0.35">
      <c r="A12" s="21" t="s">
        <v>13</v>
      </c>
      <c r="B12" s="22"/>
      <c r="C12" s="22"/>
      <c r="D12" s="22"/>
      <c r="E12" s="22"/>
      <c r="F12" s="23"/>
      <c r="G12" s="9"/>
      <c r="H12" s="9"/>
      <c r="I12" s="9"/>
      <c r="J12" s="9"/>
      <c r="K12" s="9"/>
      <c r="L12" s="9"/>
      <c r="M12" s="9"/>
      <c r="N12" s="9"/>
    </row>
    <row r="13" spans="1:14" ht="20.399999999999999" x14ac:dyDescent="0.35">
      <c r="A13" s="8">
        <f>J7+K7+L7+M7+N7</f>
        <v>300</v>
      </c>
      <c r="B13" s="8" t="s">
        <v>21</v>
      </c>
      <c r="C13" s="8">
        <v>310</v>
      </c>
      <c r="D13" s="8" t="s">
        <v>31</v>
      </c>
      <c r="E13" s="20" t="s">
        <v>32</v>
      </c>
      <c r="F13" s="20"/>
      <c r="G13" s="9"/>
      <c r="H13" s="9"/>
      <c r="I13" s="9"/>
      <c r="J13" s="9"/>
      <c r="K13" s="9"/>
      <c r="L13" s="9"/>
      <c r="M13" s="9"/>
      <c r="N13" s="9"/>
    </row>
    <row r="14" spans="1:14" ht="20.399999999999999" x14ac:dyDescent="0.35">
      <c r="A14" s="8">
        <f>J8+K8+L8+M8+N8</f>
        <v>260</v>
      </c>
      <c r="B14" s="8" t="s">
        <v>21</v>
      </c>
      <c r="C14" s="8">
        <v>260</v>
      </c>
      <c r="D14" s="8" t="s">
        <v>6</v>
      </c>
      <c r="E14" s="20"/>
      <c r="F14" s="20"/>
      <c r="G14" s="9"/>
      <c r="H14" s="9"/>
      <c r="I14" s="9"/>
      <c r="J14" s="9"/>
      <c r="K14" s="9"/>
      <c r="L14" s="9"/>
      <c r="M14" s="9"/>
      <c r="N14" s="9"/>
    </row>
    <row r="15" spans="1:14" ht="20.399999999999999" x14ac:dyDescent="0.35">
      <c r="A15" s="8">
        <f>J9+K9+L9+M9+N9</f>
        <v>280</v>
      </c>
      <c r="B15" s="8" t="s">
        <v>21</v>
      </c>
      <c r="C15" s="8">
        <v>280</v>
      </c>
      <c r="D15" s="8" t="s">
        <v>7</v>
      </c>
      <c r="E15" s="20"/>
      <c r="F15" s="20"/>
      <c r="G15" s="9"/>
      <c r="H15" s="9"/>
      <c r="I15" s="9"/>
      <c r="J15" s="9"/>
      <c r="K15" s="9"/>
      <c r="L15" s="9"/>
      <c r="M15" s="9"/>
      <c r="N15" s="9"/>
    </row>
    <row r="16" spans="1:14" ht="20.399999999999999" x14ac:dyDescent="0.35">
      <c r="A16" s="10"/>
      <c r="B16" s="10"/>
      <c r="C16" s="10"/>
      <c r="D16" s="10"/>
      <c r="E16" s="10"/>
      <c r="F16" s="10"/>
      <c r="G16" s="9"/>
      <c r="H16" s="9"/>
      <c r="I16" s="9"/>
      <c r="J16" s="9"/>
      <c r="K16" s="9"/>
      <c r="L16" s="9"/>
      <c r="M16" s="9"/>
      <c r="N16" s="9"/>
    </row>
    <row r="17" spans="1:14" ht="20.399999999999999" x14ac:dyDescent="0.35">
      <c r="A17" s="8">
        <f>J7+J8+J9</f>
        <v>180</v>
      </c>
      <c r="B17" s="8" t="s">
        <v>24</v>
      </c>
      <c r="C17" s="8">
        <v>180</v>
      </c>
      <c r="D17" s="8" t="s">
        <v>0</v>
      </c>
      <c r="E17" s="20" t="s">
        <v>33</v>
      </c>
      <c r="F17" s="20"/>
      <c r="G17" s="9"/>
      <c r="H17" s="9"/>
      <c r="I17" s="9"/>
      <c r="J17" s="9"/>
      <c r="K17" s="9"/>
      <c r="L17" s="9"/>
      <c r="M17" s="9"/>
      <c r="N17" s="9"/>
    </row>
    <row r="18" spans="1:14" ht="20.399999999999999" x14ac:dyDescent="0.35">
      <c r="A18" s="8">
        <f>K7+K8+K9</f>
        <v>80</v>
      </c>
      <c r="B18" s="8" t="s">
        <v>24</v>
      </c>
      <c r="C18" s="8">
        <v>80</v>
      </c>
      <c r="D18" s="8" t="s">
        <v>1</v>
      </c>
      <c r="E18" s="20"/>
      <c r="F18" s="20"/>
      <c r="G18" s="9"/>
      <c r="H18" s="9"/>
      <c r="I18" s="9"/>
      <c r="J18" s="9"/>
      <c r="K18" s="9"/>
      <c r="L18" s="9"/>
      <c r="M18" s="9" t="s">
        <v>43</v>
      </c>
      <c r="N18" s="9"/>
    </row>
    <row r="19" spans="1:14" ht="20.399999999999999" x14ac:dyDescent="0.35">
      <c r="A19" s="8">
        <f>L7+L8+L9</f>
        <v>200</v>
      </c>
      <c r="B19" s="8" t="s">
        <v>24</v>
      </c>
      <c r="C19" s="8">
        <v>200</v>
      </c>
      <c r="D19" s="8" t="s">
        <v>2</v>
      </c>
      <c r="E19" s="20"/>
      <c r="F19" s="20"/>
      <c r="G19" s="9"/>
      <c r="H19" s="9"/>
      <c r="I19" s="9"/>
      <c r="J19" s="9"/>
      <c r="K19" s="9"/>
      <c r="L19" s="9"/>
      <c r="M19" s="9"/>
      <c r="N19" s="9"/>
    </row>
    <row r="20" spans="1:14" ht="21" x14ac:dyDescent="0.4">
      <c r="A20" s="8">
        <f>M7+M8+M9</f>
        <v>160</v>
      </c>
      <c r="B20" s="8" t="s">
        <v>24</v>
      </c>
      <c r="C20" s="8">
        <v>160</v>
      </c>
      <c r="D20" s="8" t="s">
        <v>3</v>
      </c>
      <c r="E20" s="20"/>
      <c r="F20" s="20"/>
      <c r="G20" s="9"/>
      <c r="H20" s="9"/>
      <c r="I20" s="4" t="s">
        <v>11</v>
      </c>
      <c r="J20" s="25">
        <f>SUMPRODUCT(B7:F9,J7:N9)</f>
        <v>3200</v>
      </c>
      <c r="K20" s="9"/>
      <c r="L20" s="9"/>
      <c r="M20" s="6" t="s">
        <v>16</v>
      </c>
      <c r="N20" s="26">
        <f>B7*J7+C7*K7+D7*L7+E7*M7+F7*N7+B8*J8+C8*K8+D8*L8+E8*M8+F8*N8+B9*J9+C9*K9+D9*L9+E9*M9+F9*N9</f>
        <v>3200</v>
      </c>
    </row>
    <row r="21" spans="1:14" ht="21" x14ac:dyDescent="0.4">
      <c r="A21" s="8">
        <f>N7+N8+N9</f>
        <v>220</v>
      </c>
      <c r="B21" s="8" t="s">
        <v>24</v>
      </c>
      <c r="C21" s="8">
        <v>220</v>
      </c>
      <c r="D21" s="8" t="s">
        <v>4</v>
      </c>
      <c r="E21" s="20"/>
      <c r="F21" s="20"/>
      <c r="G21" s="9"/>
      <c r="H21" s="9"/>
      <c r="I21" s="5" t="s">
        <v>19</v>
      </c>
      <c r="J21" s="25"/>
      <c r="K21" s="9"/>
      <c r="L21" s="9"/>
      <c r="M21" s="5" t="s">
        <v>19</v>
      </c>
      <c r="N21" s="27"/>
    </row>
    <row r="22" spans="1:14" ht="20.399999999999999" x14ac:dyDescent="0.35">
      <c r="G22" s="3"/>
    </row>
    <row r="23" spans="1:14" ht="20.399999999999999" x14ac:dyDescent="0.35">
      <c r="G23" s="3"/>
      <c r="H23" s="1"/>
    </row>
    <row r="24" spans="1:14" ht="20.399999999999999" x14ac:dyDescent="0.35">
      <c r="G24" s="3"/>
      <c r="H24" s="1"/>
    </row>
    <row r="25" spans="1:14" ht="20.399999999999999" x14ac:dyDescent="0.35">
      <c r="G25" s="3"/>
    </row>
    <row r="26" spans="1:14" ht="20.399999999999999" x14ac:dyDescent="0.35">
      <c r="G26" s="3"/>
    </row>
    <row r="27" spans="1:14" ht="20.399999999999999" x14ac:dyDescent="0.35">
      <c r="G27" s="3"/>
    </row>
    <row r="28" spans="1:14" ht="20.399999999999999" x14ac:dyDescent="0.35">
      <c r="G28" s="3"/>
    </row>
    <row r="29" spans="1:14" ht="20.399999999999999" x14ac:dyDescent="0.35">
      <c r="G29" s="3"/>
    </row>
    <row r="30" spans="1:14" ht="20.399999999999999" x14ac:dyDescent="0.35">
      <c r="G30" s="3"/>
    </row>
  </sheetData>
  <mergeCells count="8">
    <mergeCell ref="A1:N4"/>
    <mergeCell ref="E17:F21"/>
    <mergeCell ref="A5:G5"/>
    <mergeCell ref="A12:F12"/>
    <mergeCell ref="E13:F15"/>
    <mergeCell ref="I5:N5"/>
    <mergeCell ref="J20:J21"/>
    <mergeCell ref="N20:N2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B6C9-C016-4A94-A85E-B70CD0837EEA}">
  <dimension ref="A1:F24"/>
  <sheetViews>
    <sheetView workbookViewId="0">
      <selection activeCell="A3" sqref="A3"/>
    </sheetView>
  </sheetViews>
  <sheetFormatPr defaultRowHeight="14.4" x14ac:dyDescent="0.3"/>
  <cols>
    <col min="1" max="1" width="85.33203125" bestFit="1" customWidth="1"/>
  </cols>
  <sheetData>
    <row r="1" spans="1:6" x14ac:dyDescent="0.3">
      <c r="A1" t="s">
        <v>11</v>
      </c>
      <c r="C1" t="s">
        <v>30</v>
      </c>
      <c r="E1" t="s">
        <v>13</v>
      </c>
    </row>
    <row r="2" spans="1:6" x14ac:dyDescent="0.3">
      <c r="A2" t="s">
        <v>12</v>
      </c>
      <c r="C2" t="s">
        <v>20</v>
      </c>
      <c r="D2" s="2" t="s">
        <v>21</v>
      </c>
      <c r="E2">
        <v>310</v>
      </c>
      <c r="F2" t="s">
        <v>5</v>
      </c>
    </row>
    <row r="3" spans="1:6" x14ac:dyDescent="0.3">
      <c r="A3" t="s">
        <v>13</v>
      </c>
      <c r="C3" t="s">
        <v>22</v>
      </c>
      <c r="D3" s="2" t="s">
        <v>21</v>
      </c>
      <c r="E3">
        <v>260</v>
      </c>
      <c r="F3" t="s">
        <v>6</v>
      </c>
    </row>
    <row r="4" spans="1:6" x14ac:dyDescent="0.3">
      <c r="A4" t="s">
        <v>14</v>
      </c>
      <c r="C4" t="s">
        <v>23</v>
      </c>
      <c r="D4" s="2" t="s">
        <v>21</v>
      </c>
      <c r="E4">
        <v>280</v>
      </c>
      <c r="F4" t="s">
        <v>7</v>
      </c>
    </row>
    <row r="5" spans="1:6" x14ac:dyDescent="0.3">
      <c r="A5" t="s">
        <v>15</v>
      </c>
    </row>
    <row r="6" spans="1:6" x14ac:dyDescent="0.3">
      <c r="C6" t="s">
        <v>25</v>
      </c>
      <c r="D6" s="2" t="s">
        <v>24</v>
      </c>
      <c r="E6">
        <v>180</v>
      </c>
      <c r="F6" t="s">
        <v>0</v>
      </c>
    </row>
    <row r="7" spans="1:6" x14ac:dyDescent="0.3">
      <c r="C7" t="s">
        <v>26</v>
      </c>
      <c r="D7" s="2" t="s">
        <v>24</v>
      </c>
      <c r="E7">
        <v>80</v>
      </c>
      <c r="F7" t="s">
        <v>1</v>
      </c>
    </row>
    <row r="8" spans="1:6" x14ac:dyDescent="0.3">
      <c r="C8" t="s">
        <v>27</v>
      </c>
      <c r="D8" s="2" t="s">
        <v>24</v>
      </c>
      <c r="E8">
        <v>200</v>
      </c>
      <c r="F8" t="s">
        <v>2</v>
      </c>
    </row>
    <row r="9" spans="1:6" x14ac:dyDescent="0.3">
      <c r="C9" t="s">
        <v>28</v>
      </c>
      <c r="D9" s="2" t="s">
        <v>24</v>
      </c>
      <c r="E9">
        <v>160</v>
      </c>
      <c r="F9" t="s">
        <v>3</v>
      </c>
    </row>
    <row r="10" spans="1:6" x14ac:dyDescent="0.3">
      <c r="C10" t="s">
        <v>29</v>
      </c>
      <c r="D10" s="2" t="s">
        <v>24</v>
      </c>
      <c r="E10">
        <v>220</v>
      </c>
      <c r="F10" t="s">
        <v>4</v>
      </c>
    </row>
    <row r="16" spans="1:6" x14ac:dyDescent="0.3">
      <c r="A16" t="s">
        <v>36</v>
      </c>
    </row>
    <row r="18" spans="1:1" x14ac:dyDescent="0.3">
      <c r="A18" t="s">
        <v>37</v>
      </c>
    </row>
    <row r="19" spans="1:1" x14ac:dyDescent="0.3">
      <c r="A19" t="s">
        <v>38</v>
      </c>
    </row>
    <row r="20" spans="1:1" x14ac:dyDescent="0.3">
      <c r="A20" t="s">
        <v>39</v>
      </c>
    </row>
    <row r="21" spans="1:1" x14ac:dyDescent="0.3">
      <c r="A21" t="s">
        <v>35</v>
      </c>
    </row>
    <row r="22" spans="1:1" x14ac:dyDescent="0.3">
      <c r="A22" t="s">
        <v>40</v>
      </c>
    </row>
    <row r="23" spans="1:1" x14ac:dyDescent="0.3">
      <c r="A23" t="s">
        <v>41</v>
      </c>
    </row>
    <row r="24" spans="1:1" x14ac:dyDescent="0.3">
      <c r="A24" t="s">
        <v>42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11D06-8725-4490-9618-2CCE0B1CC56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Variáveis de decisão</vt:lpstr>
      <vt:lpstr>INSTRUÇÕES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Sérgio dos Santos</dc:creator>
  <cp:lastModifiedBy>José Sérgio dos Santos</cp:lastModifiedBy>
  <dcterms:created xsi:type="dcterms:W3CDTF">2026-04-15T22:00:22Z</dcterms:created>
  <dcterms:modified xsi:type="dcterms:W3CDTF">2026-04-23T00:35:16Z</dcterms:modified>
</cp:coreProperties>
</file>