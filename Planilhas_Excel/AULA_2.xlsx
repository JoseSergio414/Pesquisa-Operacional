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Pesquisa operacional\"/>
    </mc:Choice>
  </mc:AlternateContent>
  <xr:revisionPtr revIDLastSave="0" documentId="13_ncr:1_{9FDC739C-01EE-4053-933E-62825AC7E84A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Tabela de Custos" sheetId="1" r:id="rId1"/>
    <sheet name="Notas" sheetId="2" r:id="rId2"/>
  </sheets>
  <definedNames>
    <definedName name="solver_adj" localSheetId="0" hidden="1">'Tabela de Custos'!$B$16:$E$18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'Tabela de Custos'!$A$21:$A$24</definedName>
    <definedName name="solver_lhs2" localSheetId="0" hidden="1">'Tabela de Custos'!$A$27:$A$29</definedName>
    <definedName name="solver_lhs3" localSheetId="0" hidden="1">'Tabela de Custos'!$B$16:$E$18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'Tabela de Custos'!$B$32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4</definedName>
    <definedName name="solver_rhs1" localSheetId="0" hidden="1">'Tabela de Custos'!$C$21:$C$24</definedName>
    <definedName name="solver_rhs2" localSheetId="0" hidden="1">'Tabela de Custos'!$C$27:$C$29</definedName>
    <definedName name="solver_rhs3" localSheetId="0" hidden="1">número inteiro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9021"/>
</workbook>
</file>

<file path=xl/calcChain.xml><?xml version="1.0" encoding="utf-8"?>
<calcChain xmlns="http://schemas.openxmlformats.org/spreadsheetml/2006/main">
  <c r="A22" i="1" l="1"/>
  <c r="A21" i="1"/>
  <c r="B32" i="1"/>
  <c r="A28" i="1" l="1"/>
  <c r="A29" i="1"/>
  <c r="A27" i="1"/>
  <c r="C28" i="1"/>
  <c r="C29" i="1"/>
  <c r="C27" i="1"/>
  <c r="A24" i="1"/>
  <c r="A23" i="1"/>
  <c r="C24" i="1"/>
  <c r="C23" i="1"/>
  <c r="C22" i="1"/>
  <c r="C21" i="1"/>
  <c r="E32" i="1"/>
  <c r="F13" i="1"/>
  <c r="F7" i="1"/>
</calcChain>
</file>

<file path=xl/sharedStrings.xml><?xml version="1.0" encoding="utf-8"?>
<sst xmlns="http://schemas.openxmlformats.org/spreadsheetml/2006/main" count="93" uniqueCount="72">
  <si>
    <t>cliente 1</t>
  </si>
  <si>
    <t>cliente 4</t>
  </si>
  <si>
    <t>planta 1</t>
  </si>
  <si>
    <t>planta 2</t>
  </si>
  <si>
    <t>planta 3</t>
  </si>
  <si>
    <t xml:space="preserve">variáveis de decisão </t>
  </si>
  <si>
    <t>xij... quatidade de produtos fabricados na planta que serão entregues para o cliente j</t>
  </si>
  <si>
    <t>cliente 2</t>
  </si>
  <si>
    <t xml:space="preserve">variáveis  de decisão </t>
  </si>
  <si>
    <t>xij... quantidade de produtos  fabricados na planta I que serão entregues para o cliente j</t>
  </si>
  <si>
    <t xml:space="preserve">origem/destino </t>
  </si>
  <si>
    <t xml:space="preserve"> cliente 3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</si>
  <si>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</si>
  <si>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</si>
  <si>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</si>
  <si>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</si>
  <si>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</si>
  <si>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</si>
  <si>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</si>
  <si>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</si>
  <si>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</si>
  <si>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</si>
  <si>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</si>
  <si>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x34</t>
  </si>
  <si>
    <t>vou enviar</t>
  </si>
  <si>
    <t>x11+X21+X31</t>
  </si>
  <si>
    <t>X12 +X 22+X 32</t>
  </si>
  <si>
    <t>X 13+ X23 +X33</t>
  </si>
  <si>
    <t>X14 +X 24+X34</t>
  </si>
  <si>
    <t>&gt;=</t>
  </si>
  <si>
    <t>c1</t>
  </si>
  <si>
    <t>c2</t>
  </si>
  <si>
    <t>c3</t>
  </si>
  <si>
    <t>c4</t>
  </si>
  <si>
    <t>p1</t>
  </si>
  <si>
    <t>p3</t>
  </si>
  <si>
    <t>pedido cliente</t>
  </si>
  <si>
    <t xml:space="preserve">capacidade de produção </t>
  </si>
  <si>
    <t>&lt;=</t>
  </si>
  <si>
    <t>x11+x12+x13+x14</t>
  </si>
  <si>
    <t>x21+x22+x23+x24</t>
  </si>
  <si>
    <t>x31+x32+x33+x34</t>
  </si>
  <si>
    <t>minimizar ct (ex) 14 custo x linha em que se encontra (x11) + 00</t>
  </si>
  <si>
    <t>Origem</t>
  </si>
  <si>
    <t>Cliente 1</t>
  </si>
  <si>
    <t>Cliente  2</t>
  </si>
  <si>
    <t>Cliente 3</t>
  </si>
  <si>
    <t>Cliente 4</t>
  </si>
  <si>
    <t>Capacidade Produtiva</t>
  </si>
  <si>
    <t>Tabela de Custos  Unitários ($/unidade)</t>
  </si>
  <si>
    <t>Planta 1</t>
  </si>
  <si>
    <t>Planta 2</t>
  </si>
  <si>
    <t>Planta 3</t>
  </si>
  <si>
    <t>Pedido do Cliente</t>
  </si>
  <si>
    <t xml:space="preserve">Origem / Destino </t>
  </si>
  <si>
    <t>Cliente 2</t>
  </si>
  <si>
    <t>Oferta</t>
  </si>
  <si>
    <t>Demanda</t>
  </si>
  <si>
    <t>Função Objetivo (custo total)</t>
  </si>
  <si>
    <t>Função Somar Produto</t>
  </si>
  <si>
    <t>Minimizar</t>
  </si>
  <si>
    <t>Restrições</t>
  </si>
  <si>
    <t>Capacidade:</t>
  </si>
  <si>
    <t xml:space="preserve">Capacidade de Produção </t>
  </si>
  <si>
    <t xml:space="preserve">Pedido do Cliente </t>
  </si>
  <si>
    <t>P1</t>
  </si>
  <si>
    <t>P2</t>
  </si>
  <si>
    <t>P3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</si>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</sst>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0"/>
      <name val="Arial Black"/>
      <family val="2"/>
    </font>
    <font>
      <sz val="12"/>
      <color theme="1"/>
      <name val="Arial Black"/>
      <family val="2"/>
    </font>
    <font>
      <b/>
      <sz val="12"/>
      <name val="Arial Black"/>
      <family val="2"/>
    </font>
    <font>
      <sz val="1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4" fillId="2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C8D0-A630-7B44-9E1C-E81AA81CFBE9}">
  <dimension ref="A1:J32"/>
  <sheetViews>
    <sheetView showGridLines="0" tabSelected="1" topLeftCell="A4" zoomScale="82" zoomScaleNormal="82" zoomScaleSheetLayoutView="100" workbookViewId="0">
      <selection activeCell="A8" sqref="A8"/>
    </sheetView>
  </sheetViews>
  <sheetFormatPr defaultRowHeight="14.4" x14ac:dyDescent="0.3"/>
  <cols>
    <col min="1" max="1" width="22.77734375" bestFit="1" customWidth="1"/>
    <col min="2" max="2" width="12.109375" bestFit="1" customWidth="1"/>
    <col min="3" max="3" width="12.88671875" bestFit="1" customWidth="1"/>
    <col min="4" max="4" width="13" bestFit="1" customWidth="1"/>
    <col min="5" max="5" width="31.5546875" bestFit="1" customWidth="1"/>
    <col min="6" max="6" width="28" bestFit="1" customWidth="1"/>
    <col min="7" max="7" width="7.33203125" customWidth="1"/>
    <col min="8" max="8" width="6.5546875" customWidth="1"/>
    <col min="9" max="9" width="5.6640625" customWidth="1"/>
    <col min="16" max="16" width="9.77734375"/>
    <col min="17" max="17" width="17.44140625" customWidth="1"/>
  </cols>
  <sheetData>
    <row r="1" spans="1:6" x14ac:dyDescent="0.3">
      <c r="A1" s="11" t="s">
        <v>49</v>
      </c>
      <c r="B1" s="11"/>
      <c r="C1" s="11"/>
      <c r="D1" s="11"/>
      <c r="E1" s="11"/>
      <c r="F1" s="11"/>
    </row>
    <row r="2" spans="1:6" x14ac:dyDescent="0.3">
      <c r="A2" s="11"/>
      <c r="B2" s="11"/>
      <c r="C2" s="11"/>
      <c r="D2" s="11"/>
      <c r="E2" s="11"/>
      <c r="F2" s="11"/>
    </row>
    <row r="3" spans="1:6" ht="18.600000000000001" x14ac:dyDescent="0.45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</row>
    <row r="4" spans="1:6" ht="18.600000000000001" x14ac:dyDescent="0.45">
      <c r="A4" s="2" t="s">
        <v>50</v>
      </c>
      <c r="B4" s="3">
        <v>14</v>
      </c>
      <c r="C4" s="3">
        <v>14</v>
      </c>
      <c r="D4" s="3">
        <v>5</v>
      </c>
      <c r="E4" s="3">
        <v>3</v>
      </c>
      <c r="F4" s="3">
        <v>100</v>
      </c>
    </row>
    <row r="5" spans="1:6" ht="18.600000000000001" x14ac:dyDescent="0.45">
      <c r="A5" s="2" t="s">
        <v>51</v>
      </c>
      <c r="B5" s="3">
        <v>8</v>
      </c>
      <c r="C5" s="3">
        <v>5</v>
      </c>
      <c r="D5" s="3">
        <v>5</v>
      </c>
      <c r="E5" s="3">
        <v>10</v>
      </c>
      <c r="F5" s="3">
        <v>300</v>
      </c>
    </row>
    <row r="6" spans="1:6" ht="18.600000000000001" x14ac:dyDescent="0.45">
      <c r="A6" s="2" t="s">
        <v>52</v>
      </c>
      <c r="B6" s="3">
        <v>3</v>
      </c>
      <c r="C6" s="3">
        <v>7</v>
      </c>
      <c r="D6" s="3">
        <v>4</v>
      </c>
      <c r="E6" s="3">
        <v>12</v>
      </c>
      <c r="F6" s="3">
        <v>200</v>
      </c>
    </row>
    <row r="7" spans="1:6" ht="18.600000000000001" x14ac:dyDescent="0.45">
      <c r="A7" s="2" t="s">
        <v>53</v>
      </c>
      <c r="B7" s="3">
        <v>50</v>
      </c>
      <c r="C7" s="3">
        <v>250</v>
      </c>
      <c r="D7" s="3">
        <v>200</v>
      </c>
      <c r="E7" s="3">
        <v>100</v>
      </c>
      <c r="F7" s="3">
        <f>SUM(F4:F6)</f>
        <v>600</v>
      </c>
    </row>
    <row r="8" spans="1:6" ht="18.600000000000001" x14ac:dyDescent="0.45">
      <c r="A8" s="4"/>
      <c r="B8" s="4"/>
      <c r="C8" s="4"/>
      <c r="D8" s="4"/>
      <c r="E8" s="4"/>
      <c r="F8" s="4"/>
    </row>
    <row r="9" spans="1:6" ht="18.600000000000001" x14ac:dyDescent="0.45">
      <c r="A9" s="5" t="s">
        <v>54</v>
      </c>
      <c r="B9" s="6">
        <v>1</v>
      </c>
      <c r="C9" s="6">
        <v>2</v>
      </c>
      <c r="D9" s="6">
        <v>3</v>
      </c>
      <c r="E9" s="6">
        <v>4</v>
      </c>
      <c r="F9" s="5" t="s">
        <v>56</v>
      </c>
    </row>
    <row r="10" spans="1:6" ht="18.600000000000001" x14ac:dyDescent="0.45">
      <c r="A10" s="2">
        <v>1</v>
      </c>
      <c r="B10" s="3">
        <v>14</v>
      </c>
      <c r="C10" s="3">
        <v>14</v>
      </c>
      <c r="D10" s="3">
        <v>5</v>
      </c>
      <c r="E10" s="3">
        <v>3</v>
      </c>
      <c r="F10" s="3">
        <v>100</v>
      </c>
    </row>
    <row r="11" spans="1:6" ht="18.600000000000001" x14ac:dyDescent="0.45">
      <c r="A11" s="2">
        <v>2</v>
      </c>
      <c r="B11" s="3">
        <v>8</v>
      </c>
      <c r="C11" s="3">
        <v>5</v>
      </c>
      <c r="D11" s="3">
        <v>5</v>
      </c>
      <c r="E11" s="3">
        <v>10</v>
      </c>
      <c r="F11" s="3">
        <v>300</v>
      </c>
    </row>
    <row r="12" spans="1:6" ht="18.600000000000001" x14ac:dyDescent="0.45">
      <c r="A12" s="2">
        <v>3</v>
      </c>
      <c r="B12" s="3">
        <v>3</v>
      </c>
      <c r="C12" s="3">
        <v>7</v>
      </c>
      <c r="D12" s="3">
        <v>4</v>
      </c>
      <c r="E12" s="3">
        <v>12</v>
      </c>
      <c r="F12" s="3">
        <v>200</v>
      </c>
    </row>
    <row r="13" spans="1:6" ht="18.600000000000001" x14ac:dyDescent="0.45">
      <c r="A13" s="5" t="s">
        <v>57</v>
      </c>
      <c r="B13" s="3">
        <v>50</v>
      </c>
      <c r="C13" s="3">
        <v>250</v>
      </c>
      <c r="D13" s="3">
        <v>200</v>
      </c>
      <c r="E13" s="3">
        <v>100</v>
      </c>
      <c r="F13" s="3">
        <f>SUM(F10:F12)</f>
        <v>600</v>
      </c>
    </row>
    <row r="14" spans="1:6" ht="18.600000000000001" x14ac:dyDescent="0.45">
      <c r="A14" s="4"/>
      <c r="B14" s="4"/>
      <c r="C14" s="4"/>
      <c r="D14" s="4"/>
      <c r="E14" s="4"/>
      <c r="F14" s="4"/>
    </row>
    <row r="15" spans="1:6" ht="18.600000000000001" x14ac:dyDescent="0.45">
      <c r="A15" s="5" t="s">
        <v>54</v>
      </c>
      <c r="B15" s="5" t="s">
        <v>44</v>
      </c>
      <c r="C15" s="5" t="s">
        <v>55</v>
      </c>
      <c r="D15" s="5" t="s">
        <v>46</v>
      </c>
      <c r="E15" s="5" t="s">
        <v>47</v>
      </c>
      <c r="F15" s="4"/>
    </row>
    <row r="16" spans="1:6" ht="18.600000000000001" x14ac:dyDescent="0.45">
      <c r="A16" s="2" t="s">
        <v>50</v>
      </c>
      <c r="B16" s="6">
        <v>0</v>
      </c>
      <c r="C16" s="6">
        <v>0</v>
      </c>
      <c r="D16" s="6">
        <v>0</v>
      </c>
      <c r="E16" s="6">
        <v>100</v>
      </c>
      <c r="F16" s="4"/>
    </row>
    <row r="17" spans="1:10" ht="18.600000000000001" x14ac:dyDescent="0.45">
      <c r="A17" s="2" t="s">
        <v>51</v>
      </c>
      <c r="B17" s="6">
        <v>0</v>
      </c>
      <c r="C17" s="7">
        <v>250</v>
      </c>
      <c r="D17" s="6">
        <v>50</v>
      </c>
      <c r="E17" s="6">
        <v>0</v>
      </c>
      <c r="F17" s="4"/>
    </row>
    <row r="18" spans="1:10" ht="18.600000000000001" x14ac:dyDescent="0.45">
      <c r="A18" s="2" t="s">
        <v>52</v>
      </c>
      <c r="B18" s="6">
        <v>50</v>
      </c>
      <c r="C18" s="6">
        <v>0</v>
      </c>
      <c r="D18" s="6">
        <v>150</v>
      </c>
      <c r="E18" s="6">
        <v>0</v>
      </c>
      <c r="F18" s="4"/>
    </row>
    <row r="19" spans="1:10" ht="18.600000000000001" x14ac:dyDescent="0.45">
      <c r="A19" s="4"/>
      <c r="B19" s="4"/>
      <c r="C19" s="4"/>
      <c r="D19" s="4"/>
      <c r="E19" s="4"/>
      <c r="F19" s="4"/>
    </row>
    <row r="20" spans="1:10" ht="18.600000000000001" x14ac:dyDescent="0.45">
      <c r="A20" s="10" t="s">
        <v>61</v>
      </c>
      <c r="B20" s="10"/>
      <c r="C20" s="10"/>
      <c r="D20" s="10"/>
      <c r="E20" s="10"/>
      <c r="F20" s="4"/>
    </row>
    <row r="21" spans="1:10" ht="18.600000000000001" x14ac:dyDescent="0.45">
      <c r="A21" s="3">
        <f>B16+B17+B18</f>
        <v>50</v>
      </c>
      <c r="B21" s="3" t="s">
        <v>29</v>
      </c>
      <c r="C21" s="3">
        <f>B7</f>
        <v>50</v>
      </c>
      <c r="D21" s="3" t="s">
        <v>68</v>
      </c>
      <c r="E21" s="9" t="s">
        <v>64</v>
      </c>
      <c r="F21" s="4"/>
    </row>
    <row r="22" spans="1:10" ht="18.600000000000001" x14ac:dyDescent="0.45">
      <c r="A22" s="3">
        <f>C16+C17+C18</f>
        <v>250</v>
      </c>
      <c r="B22" s="3" t="s">
        <v>29</v>
      </c>
      <c r="C22" s="3">
        <f>C7</f>
        <v>250</v>
      </c>
      <c r="D22" s="3" t="s">
        <v>69</v>
      </c>
      <c r="E22" s="9"/>
      <c r="F22" s="4"/>
    </row>
    <row r="23" spans="1:10" ht="18.600000000000001" x14ac:dyDescent="0.45">
      <c r="A23" s="3">
        <f>D16+D17+D18</f>
        <v>200</v>
      </c>
      <c r="B23" s="3" t="s">
        <v>29</v>
      </c>
      <c r="C23" s="3">
        <f>D7</f>
        <v>200</v>
      </c>
      <c r="D23" s="3" t="s">
        <v>70</v>
      </c>
      <c r="E23" s="9"/>
      <c r="F23" s="4"/>
    </row>
    <row r="24" spans="1:10" ht="18.600000000000001" x14ac:dyDescent="0.45">
      <c r="A24" s="3">
        <f>E16+E17+E18</f>
        <v>100</v>
      </c>
      <c r="B24" s="3" t="s">
        <v>29</v>
      </c>
      <c r="C24" s="3">
        <f>E7</f>
        <v>100</v>
      </c>
      <c r="D24" s="3" t="s">
        <v>71</v>
      </c>
      <c r="E24" s="9"/>
      <c r="F24" s="4"/>
    </row>
    <row r="25" spans="1:10" ht="18.600000000000001" x14ac:dyDescent="0.45">
      <c r="A25" s="4"/>
      <c r="B25" s="4"/>
      <c r="C25" s="4"/>
      <c r="D25" s="4"/>
      <c r="E25" s="4"/>
      <c r="F25" s="4"/>
    </row>
    <row r="26" spans="1:10" ht="18.600000000000001" x14ac:dyDescent="0.45">
      <c r="A26" s="10" t="s">
        <v>62</v>
      </c>
      <c r="B26" s="10"/>
      <c r="C26" s="10"/>
      <c r="D26" s="10"/>
      <c r="E26" s="10"/>
      <c r="F26" s="4"/>
    </row>
    <row r="27" spans="1:10" ht="18.600000000000001" x14ac:dyDescent="0.45">
      <c r="A27" s="8">
        <f>B16+C16+D16+E16</f>
        <v>100</v>
      </c>
      <c r="B27" s="8" t="s">
        <v>38</v>
      </c>
      <c r="C27" s="8">
        <f>F4</f>
        <v>100</v>
      </c>
      <c r="D27" s="8" t="s">
        <v>65</v>
      </c>
      <c r="E27" s="9" t="s">
        <v>63</v>
      </c>
      <c r="F27" s="4"/>
      <c r="J27" s="1"/>
    </row>
    <row r="28" spans="1:10" ht="18.600000000000001" x14ac:dyDescent="0.45">
      <c r="A28" s="8">
        <f>B17+C17+D17+E17</f>
        <v>300</v>
      </c>
      <c r="B28" s="8" t="s">
        <v>38</v>
      </c>
      <c r="C28" s="8">
        <f>F5</f>
        <v>300</v>
      </c>
      <c r="D28" s="8" t="s">
        <v>66</v>
      </c>
      <c r="E28" s="9"/>
      <c r="F28" s="4"/>
      <c r="J28" s="1"/>
    </row>
    <row r="29" spans="1:10" ht="18.600000000000001" x14ac:dyDescent="0.45">
      <c r="A29" s="8">
        <f>B18+C18+D18+E18</f>
        <v>200</v>
      </c>
      <c r="B29" s="8" t="s">
        <v>38</v>
      </c>
      <c r="C29" s="8">
        <f>F6</f>
        <v>200</v>
      </c>
      <c r="D29" s="8" t="s">
        <v>67</v>
      </c>
      <c r="E29" s="9"/>
      <c r="F29" s="4"/>
    </row>
    <row r="30" spans="1:10" ht="18.600000000000001" x14ac:dyDescent="0.45">
      <c r="A30" s="4"/>
      <c r="B30" s="4"/>
      <c r="C30" s="4"/>
      <c r="D30" s="4"/>
      <c r="E30" s="4"/>
      <c r="F30" s="4"/>
    </row>
    <row r="31" spans="1:10" ht="18.600000000000001" x14ac:dyDescent="0.45">
      <c r="A31" s="10" t="s">
        <v>58</v>
      </c>
      <c r="B31" s="10"/>
      <c r="C31" s="4"/>
      <c r="D31" s="10" t="s">
        <v>59</v>
      </c>
      <c r="E31" s="10"/>
      <c r="F31" s="4"/>
    </row>
    <row r="32" spans="1:10" ht="18.600000000000001" x14ac:dyDescent="0.45">
      <c r="A32" s="6" t="s">
        <v>60</v>
      </c>
      <c r="B32" s="3">
        <f>B4*B16+B5*B17+B6*B18+C4*C16+C5*C17+C6*C18+D4*D16+D5*D17+D6*D18+E4*E16+E5*E17+E6*E18</f>
        <v>2550</v>
      </c>
      <c r="C32" s="4"/>
      <c r="D32" s="2" t="s">
        <v>60</v>
      </c>
      <c r="E32" s="3">
        <f>SUMPRODUCT(B4:E6,B16:E18)</f>
        <v>2550</v>
      </c>
      <c r="F32" s="4"/>
    </row>
  </sheetData>
  <dataConsolidate/>
  <mergeCells count="7">
    <mergeCell ref="E27:E29"/>
    <mergeCell ref="A26:E26"/>
    <mergeCell ref="A1:F2"/>
    <mergeCell ref="A31:B31"/>
    <mergeCell ref="D31:E31"/>
    <mergeCell ref="A20:E20"/>
    <mergeCell ref="E21:E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6AE0-3B44-4060-B004-B1663DB974F2}">
  <dimension ref="A3:J16"/>
  <sheetViews>
    <sheetView workbookViewId="0">
      <selection sqref="A1:Q18"/>
    </sheetView>
  </sheetViews>
  <sheetFormatPr defaultRowHeight="14.4" x14ac:dyDescent="0.3"/>
  <sheetData>
    <row r="3" spans="1:10" x14ac:dyDescent="0.3">
      <c r="A3" t="s">
        <v>10</v>
      </c>
      <c r="B3" t="s">
        <v>0</v>
      </c>
      <c r="C3" t="s">
        <v>7</v>
      </c>
      <c r="D3" t="s">
        <v>11</v>
      </c>
      <c r="E3" t="s">
        <v>1</v>
      </c>
    </row>
    <row r="4" spans="1:10" x14ac:dyDescent="0.3">
      <c r="A4" t="s">
        <v>2</v>
      </c>
      <c r="B4" t="s">
        <v>12</v>
      </c>
      <c r="C4" t="s">
        <v>13</v>
      </c>
      <c r="D4" t="s">
        <v>14</v>
      </c>
      <c r="E4" t="s">
        <v>15</v>
      </c>
    </row>
    <row r="5" spans="1:10" x14ac:dyDescent="0.3">
      <c r="A5" t="s">
        <v>3</v>
      </c>
      <c r="B5" t="s">
        <v>16</v>
      </c>
      <c r="C5" t="s">
        <v>17</v>
      </c>
      <c r="D5" t="s">
        <v>18</v>
      </c>
      <c r="E5" t="s">
        <v>19</v>
      </c>
    </row>
    <row r="6" spans="1:10" x14ac:dyDescent="0.3">
      <c r="A6" t="s">
        <v>4</v>
      </c>
      <c r="B6" t="s">
        <v>20</v>
      </c>
      <c r="C6" t="s">
        <v>21</v>
      </c>
      <c r="D6" t="s">
        <v>22</v>
      </c>
      <c r="E6" t="s">
        <v>23</v>
      </c>
    </row>
    <row r="8" spans="1:10" x14ac:dyDescent="0.3">
      <c r="J8" t="s">
        <v>42</v>
      </c>
    </row>
    <row r="9" spans="1:10" x14ac:dyDescent="0.3">
      <c r="A9" t="s">
        <v>24</v>
      </c>
    </row>
    <row r="10" spans="1:10" x14ac:dyDescent="0.3">
      <c r="A10" t="s">
        <v>25</v>
      </c>
      <c r="B10" t="s">
        <v>29</v>
      </c>
      <c r="C10">
        <v>50</v>
      </c>
      <c r="D10" t="s">
        <v>30</v>
      </c>
      <c r="E10" t="s">
        <v>36</v>
      </c>
      <c r="J10" t="s">
        <v>8</v>
      </c>
    </row>
    <row r="11" spans="1:10" x14ac:dyDescent="0.3">
      <c r="A11" t="s">
        <v>26</v>
      </c>
      <c r="B11" t="s">
        <v>29</v>
      </c>
      <c r="C11">
        <v>250</v>
      </c>
      <c r="D11" t="s">
        <v>31</v>
      </c>
      <c r="J11" t="s">
        <v>9</v>
      </c>
    </row>
    <row r="12" spans="1:10" x14ac:dyDescent="0.3">
      <c r="A12" t="s">
        <v>27</v>
      </c>
      <c r="B12" t="s">
        <v>29</v>
      </c>
      <c r="C12">
        <v>200</v>
      </c>
      <c r="D12" t="s">
        <v>32</v>
      </c>
    </row>
    <row r="13" spans="1:10" x14ac:dyDescent="0.3">
      <c r="A13" t="s">
        <v>28</v>
      </c>
      <c r="B13" t="s">
        <v>29</v>
      </c>
      <c r="C13">
        <v>100</v>
      </c>
      <c r="D13" t="s">
        <v>33</v>
      </c>
      <c r="J13" t="s">
        <v>5</v>
      </c>
    </row>
    <row r="14" spans="1:10" x14ac:dyDescent="0.3">
      <c r="A14" t="s">
        <v>39</v>
      </c>
      <c r="B14" t="s">
        <v>38</v>
      </c>
      <c r="C14">
        <v>100</v>
      </c>
      <c r="D14" t="s">
        <v>34</v>
      </c>
      <c r="E14" t="s">
        <v>37</v>
      </c>
      <c r="J14" t="s">
        <v>6</v>
      </c>
    </row>
    <row r="15" spans="1:10" x14ac:dyDescent="0.3">
      <c r="A15" t="s">
        <v>40</v>
      </c>
      <c r="B15" t="s">
        <v>38</v>
      </c>
      <c r="C15">
        <v>300</v>
      </c>
      <c r="D15" t="s">
        <v>34</v>
      </c>
    </row>
    <row r="16" spans="1:10" x14ac:dyDescent="0.3">
      <c r="A16" t="s">
        <v>41</v>
      </c>
      <c r="B16" t="s">
        <v>38</v>
      </c>
      <c r="C16">
        <v>200</v>
      </c>
      <c r="D16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de Custos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2026-04-08T19:39:18Z</dcterms:created>
  <dcterms:modified xsi:type="dcterms:W3CDTF">2026-04-16T00:11:21Z</dcterms:modified>
</cp:coreProperties>
</file>