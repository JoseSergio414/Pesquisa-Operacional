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esquisa operacional\"/>
    </mc:Choice>
  </mc:AlternateContent>
  <xr:revisionPtr revIDLastSave="0" documentId="13_ncr:1_{A687F127-155C-4347-9014-316207A910F0}" xr6:coauthVersionLast="36" xr6:coauthVersionMax="36" xr10:uidLastSave="{00000000-0000-0000-0000-000000000000}"/>
  <bookViews>
    <workbookView xWindow="0" yWindow="0" windowWidth="23040" windowHeight="8940" xr2:uid="{B717035E-6D3B-45A5-840E-9FB8C2BAA6BF}"/>
  </bookViews>
  <sheets>
    <sheet name="Custos de Transporte" sheetId="1" r:id="rId1"/>
  </sheets>
  <definedNames>
    <definedName name="solver_adj" localSheetId="0" hidden="1">'Custos de Transporte'!$B$13:$E$15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'Custos de Transporte'!$A$19:$A$21</definedName>
    <definedName name="solver_lhs2" localSheetId="0" hidden="1">'Custos de Transporte'!$A$23:$A$26</definedName>
    <definedName name="solver_lhs3" localSheetId="0" hidden="1">'Custos de Transporte'!$B$13:$E$15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'Custos de Transporte'!$H$25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4</definedName>
    <definedName name="solver_rhs1" localSheetId="0" hidden="1">'Custos de Transporte'!$C$19:$C$21</definedName>
    <definedName name="solver_rhs2" localSheetId="0" hidden="1">'Custos de Transporte'!$C$23:$C$26</definedName>
    <definedName name="solver_rhs3" localSheetId="0" hidden="1">número inteiro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A26" i="1" l="1"/>
  <c r="A25" i="1"/>
  <c r="A24" i="1"/>
  <c r="A23" i="1"/>
  <c r="F8" i="1" l="1"/>
  <c r="H25" i="1"/>
  <c r="A21" i="1"/>
  <c r="A20" i="1"/>
  <c r="A19" i="1"/>
</calcChain>
</file>

<file path=xl/sharedStrings.xml><?xml version="1.0" encoding="utf-8"?>
<sst xmlns="http://schemas.openxmlformats.org/spreadsheetml/2006/main" count="35" uniqueCount="22">
  <si>
    <t>Destino centros de consumo</t>
  </si>
  <si>
    <t>P2</t>
  </si>
  <si>
    <t>P3</t>
  </si>
  <si>
    <t>P1</t>
  </si>
  <si>
    <t>Origem</t>
  </si>
  <si>
    <t>C1</t>
  </si>
  <si>
    <t>C2</t>
  </si>
  <si>
    <t>C3</t>
  </si>
  <si>
    <t>C4</t>
  </si>
  <si>
    <t>OFERTA (capacidade produtiva)</t>
  </si>
  <si>
    <t>Demanda (pedido do cliente)</t>
  </si>
  <si>
    <t>Variavéis de Decisão</t>
  </si>
  <si>
    <t>Restrições</t>
  </si>
  <si>
    <t>≤</t>
  </si>
  <si>
    <t>Capacidade de Produção</t>
  </si>
  <si>
    <t>≥</t>
  </si>
  <si>
    <t>Pedidos do Cliente</t>
  </si>
  <si>
    <t>Função objetivo</t>
  </si>
  <si>
    <t>Minimizar</t>
  </si>
  <si>
    <t>CT</t>
  </si>
  <si>
    <t>Fábricas</t>
  </si>
  <si>
    <t>Tabela de Custos de 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</si>
</sst>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1935-F33F-4854-B9B3-EA5425E9961B}">
  <dimension ref="A1:H27"/>
  <sheetViews>
    <sheetView showGridLines="0" tabSelected="1" workbookViewId="0">
      <selection activeCell="G22" sqref="G22:H23"/>
    </sheetView>
  </sheetViews>
  <sheetFormatPr defaultRowHeight="14.4" x14ac:dyDescent="0.3"/>
  <cols>
    <col min="1" max="1" width="28.5546875" bestFit="1" customWidth="1"/>
    <col min="7" max="7" width="12.109375" customWidth="1"/>
    <col min="8" max="8" width="30.77734375" bestFit="1" customWidth="1"/>
  </cols>
  <sheetData>
    <row r="1" spans="1:8" x14ac:dyDescent="0.3">
      <c r="A1" s="10" t="s">
        <v>21</v>
      </c>
      <c r="B1" s="10"/>
      <c r="C1" s="10"/>
      <c r="D1" s="10"/>
      <c r="E1" s="10"/>
      <c r="F1" s="10"/>
      <c r="G1" s="10"/>
      <c r="H1" s="10"/>
    </row>
    <row r="2" spans="1:8" x14ac:dyDescent="0.3">
      <c r="A2" s="10"/>
      <c r="B2" s="10"/>
      <c r="C2" s="10"/>
      <c r="D2" s="10"/>
      <c r="E2" s="10"/>
      <c r="F2" s="10"/>
      <c r="G2" s="10"/>
      <c r="H2" s="10"/>
    </row>
    <row r="3" spans="1:8" ht="15.6" x14ac:dyDescent="0.3">
      <c r="A3" s="6" t="s">
        <v>0</v>
      </c>
      <c r="B3" s="6"/>
      <c r="C3" s="6"/>
      <c r="D3" s="6"/>
      <c r="E3" s="6"/>
      <c r="F3" s="6"/>
      <c r="G3" s="6"/>
      <c r="H3" s="6"/>
    </row>
    <row r="4" spans="1:8" ht="15.6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7" t="s">
        <v>9</v>
      </c>
      <c r="G4" s="7"/>
      <c r="H4" s="7"/>
    </row>
    <row r="5" spans="1:8" ht="15.6" x14ac:dyDescent="0.3">
      <c r="A5" s="2" t="s">
        <v>3</v>
      </c>
      <c r="B5" s="3">
        <v>10</v>
      </c>
      <c r="C5" s="3">
        <v>7</v>
      </c>
      <c r="D5" s="3">
        <v>6</v>
      </c>
      <c r="E5" s="3">
        <v>5</v>
      </c>
      <c r="F5" s="8">
        <v>9</v>
      </c>
      <c r="G5" s="8"/>
      <c r="H5" s="8"/>
    </row>
    <row r="6" spans="1:8" ht="15.6" x14ac:dyDescent="0.3">
      <c r="A6" s="2" t="s">
        <v>1</v>
      </c>
      <c r="B6" s="3">
        <v>2</v>
      </c>
      <c r="C6" s="3">
        <v>8</v>
      </c>
      <c r="D6" s="3">
        <v>9</v>
      </c>
      <c r="E6" s="3">
        <v>1</v>
      </c>
      <c r="F6" s="8">
        <v>10</v>
      </c>
      <c r="G6" s="8"/>
      <c r="H6" s="8"/>
    </row>
    <row r="7" spans="1:8" ht="15.6" x14ac:dyDescent="0.3">
      <c r="A7" s="2" t="s">
        <v>2</v>
      </c>
      <c r="B7" s="3">
        <v>11</v>
      </c>
      <c r="C7" s="3">
        <v>12</v>
      </c>
      <c r="D7" s="3">
        <v>8</v>
      </c>
      <c r="E7" s="3">
        <v>4</v>
      </c>
      <c r="F7" s="8">
        <v>8</v>
      </c>
      <c r="G7" s="8"/>
      <c r="H7" s="8"/>
    </row>
    <row r="8" spans="1:8" ht="15.6" x14ac:dyDescent="0.3">
      <c r="A8" s="5" t="s">
        <v>10</v>
      </c>
      <c r="B8" s="3">
        <v>7</v>
      </c>
      <c r="C8" s="3">
        <v>6</v>
      </c>
      <c r="D8" s="3">
        <v>10</v>
      </c>
      <c r="E8" s="3">
        <v>4</v>
      </c>
      <c r="F8" s="8">
        <f t="shared" ref="F8" si="0">SUM(F5:F7)</f>
        <v>27</v>
      </c>
      <c r="G8" s="8"/>
      <c r="H8" s="8"/>
    </row>
    <row r="9" spans="1:8" ht="15.6" x14ac:dyDescent="0.3">
      <c r="A9" s="9"/>
      <c r="B9" s="9"/>
      <c r="C9" s="9"/>
      <c r="D9" s="9"/>
      <c r="E9" s="9"/>
      <c r="F9" s="9"/>
      <c r="G9" s="9"/>
      <c r="H9" s="9"/>
    </row>
    <row r="10" spans="1:8" ht="14.4" customHeight="1" x14ac:dyDescent="0.3">
      <c r="A10" s="6" t="s">
        <v>11</v>
      </c>
      <c r="B10" s="6"/>
      <c r="C10" s="6"/>
      <c r="D10" s="6"/>
      <c r="E10" s="6"/>
      <c r="F10" s="13"/>
      <c r="G10" s="13"/>
      <c r="H10" s="13"/>
    </row>
    <row r="11" spans="1:8" ht="14.4" customHeight="1" x14ac:dyDescent="0.3">
      <c r="A11" s="6"/>
      <c r="B11" s="6"/>
      <c r="C11" s="6"/>
      <c r="D11" s="6"/>
      <c r="E11" s="6"/>
      <c r="F11" s="13"/>
      <c r="G11" s="13"/>
      <c r="H11" s="13"/>
    </row>
    <row r="12" spans="1:8" ht="15.6" x14ac:dyDescent="0.3">
      <c r="A12" s="2" t="s">
        <v>20</v>
      </c>
      <c r="B12" s="2" t="s">
        <v>5</v>
      </c>
      <c r="C12" s="2" t="s">
        <v>6</v>
      </c>
      <c r="D12" s="2" t="s">
        <v>7</v>
      </c>
      <c r="E12" s="2" t="s">
        <v>8</v>
      </c>
      <c r="F12" s="13"/>
      <c r="G12" s="13"/>
      <c r="H12" s="13"/>
    </row>
    <row r="13" spans="1:8" ht="15.6" x14ac:dyDescent="0.3">
      <c r="A13" s="2" t="s">
        <v>3</v>
      </c>
      <c r="B13" s="3">
        <v>0</v>
      </c>
      <c r="C13" s="3">
        <v>6</v>
      </c>
      <c r="D13" s="3">
        <v>3</v>
      </c>
      <c r="E13" s="3">
        <v>0</v>
      </c>
      <c r="F13" s="13"/>
      <c r="G13" s="13"/>
      <c r="H13" s="13"/>
    </row>
    <row r="14" spans="1:8" ht="15.6" x14ac:dyDescent="0.3">
      <c r="A14" s="2" t="s">
        <v>1</v>
      </c>
      <c r="B14" s="3">
        <v>7</v>
      </c>
      <c r="C14" s="3">
        <v>0</v>
      </c>
      <c r="D14" s="3">
        <v>0</v>
      </c>
      <c r="E14" s="3">
        <v>3</v>
      </c>
      <c r="F14" s="13"/>
      <c r="G14" s="13"/>
      <c r="H14" s="13"/>
    </row>
    <row r="15" spans="1:8" ht="15.6" x14ac:dyDescent="0.3">
      <c r="A15" s="2" t="s">
        <v>2</v>
      </c>
      <c r="B15" s="3">
        <v>0</v>
      </c>
      <c r="C15" s="3">
        <v>0</v>
      </c>
      <c r="D15" s="3">
        <v>7</v>
      </c>
      <c r="E15" s="3">
        <v>1</v>
      </c>
      <c r="F15" s="13"/>
      <c r="G15" s="13"/>
      <c r="H15" s="13"/>
    </row>
    <row r="16" spans="1:8" ht="15.6" x14ac:dyDescent="0.3">
      <c r="A16" s="9"/>
      <c r="B16" s="9"/>
      <c r="C16" s="9"/>
      <c r="D16" s="9"/>
      <c r="E16" s="9"/>
      <c r="F16" s="13"/>
      <c r="G16" s="13"/>
      <c r="H16" s="13"/>
    </row>
    <row r="17" spans="1:8" ht="15.6" customHeight="1" x14ac:dyDescent="0.3">
      <c r="A17" s="6" t="s">
        <v>12</v>
      </c>
      <c r="B17" s="6"/>
      <c r="C17" s="6"/>
      <c r="D17" s="6"/>
      <c r="E17" s="6"/>
      <c r="F17" s="13"/>
      <c r="G17" s="13"/>
      <c r="H17" s="13"/>
    </row>
    <row r="18" spans="1:8" ht="15.6" customHeight="1" x14ac:dyDescent="0.3">
      <c r="A18" s="6"/>
      <c r="B18" s="6"/>
      <c r="C18" s="6"/>
      <c r="D18" s="6"/>
      <c r="E18" s="6"/>
      <c r="F18" s="13"/>
      <c r="G18" s="13"/>
      <c r="H18" s="13"/>
    </row>
    <row r="19" spans="1:8" ht="15.6" x14ac:dyDescent="0.3">
      <c r="A19" s="3">
        <f>B13+C13+D13+E13</f>
        <v>9</v>
      </c>
      <c r="B19" s="4" t="s">
        <v>13</v>
      </c>
      <c r="C19" s="3">
        <v>9</v>
      </c>
      <c r="D19" s="11" t="s">
        <v>14</v>
      </c>
      <c r="E19" s="11"/>
      <c r="F19" s="12"/>
      <c r="G19" s="11" t="s">
        <v>19</v>
      </c>
      <c r="H19" s="11"/>
    </row>
    <row r="20" spans="1:8" ht="15.6" x14ac:dyDescent="0.3">
      <c r="A20" s="3">
        <f>B14+C14+D14+E14</f>
        <v>10</v>
      </c>
      <c r="B20" s="4" t="s">
        <v>13</v>
      </c>
      <c r="C20" s="3">
        <v>10</v>
      </c>
      <c r="D20" s="11"/>
      <c r="E20" s="11"/>
      <c r="F20" s="12"/>
      <c r="G20" s="11" t="s">
        <v>18</v>
      </c>
      <c r="H20" s="8">
        <f>B5*B13+C5*C13+D5*D13+E5*E13+B6*B14+C6*C14+D6*D14+E6*E14+B7*B15+C7*C15+D7*D15+E7*E15</f>
        <v>137</v>
      </c>
    </row>
    <row r="21" spans="1:8" ht="15.6" x14ac:dyDescent="0.3">
      <c r="A21" s="3">
        <f>B15+C15+D15+E15</f>
        <v>8</v>
      </c>
      <c r="B21" s="4" t="s">
        <v>13</v>
      </c>
      <c r="C21" s="3">
        <v>8</v>
      </c>
      <c r="D21" s="11"/>
      <c r="E21" s="11"/>
      <c r="F21" s="12"/>
      <c r="G21" s="11"/>
      <c r="H21" s="8"/>
    </row>
    <row r="22" spans="1:8" ht="15.6" x14ac:dyDescent="0.3">
      <c r="A22" s="8"/>
      <c r="B22" s="8"/>
      <c r="C22" s="8"/>
      <c r="D22" s="14"/>
      <c r="E22" s="14"/>
      <c r="F22" s="12"/>
      <c r="G22" s="9"/>
      <c r="H22" s="9"/>
    </row>
    <row r="23" spans="1:8" ht="15.6" x14ac:dyDescent="0.3">
      <c r="A23" s="3">
        <f>B13+B14+B15</f>
        <v>7</v>
      </c>
      <c r="B23" s="4" t="s">
        <v>15</v>
      </c>
      <c r="C23" s="3">
        <v>7</v>
      </c>
      <c r="D23" s="11" t="s">
        <v>16</v>
      </c>
      <c r="E23" s="11"/>
      <c r="F23" s="12"/>
      <c r="G23" s="9"/>
      <c r="H23" s="9"/>
    </row>
    <row r="24" spans="1:8" ht="15.6" x14ac:dyDescent="0.3">
      <c r="A24" s="3">
        <f>C13+C14+C15</f>
        <v>6</v>
      </c>
      <c r="B24" s="4" t="s">
        <v>15</v>
      </c>
      <c r="C24" s="3">
        <v>6</v>
      </c>
      <c r="D24" s="11"/>
      <c r="E24" s="11"/>
      <c r="F24" s="12"/>
      <c r="G24" s="11" t="s">
        <v>17</v>
      </c>
      <c r="H24" s="11"/>
    </row>
    <row r="25" spans="1:8" ht="15.6" x14ac:dyDescent="0.3">
      <c r="A25" s="3">
        <f>D13+D14+D15</f>
        <v>10</v>
      </c>
      <c r="B25" s="4" t="s">
        <v>15</v>
      </c>
      <c r="C25" s="3">
        <v>10</v>
      </c>
      <c r="D25" s="11"/>
      <c r="E25" s="11"/>
      <c r="F25" s="12"/>
      <c r="G25" s="11" t="s">
        <v>18</v>
      </c>
      <c r="H25" s="8">
        <f>SUMPRODUCT(B5:E7,B13:E15)</f>
        <v>137</v>
      </c>
    </row>
    <row r="26" spans="1:8" ht="15.6" x14ac:dyDescent="0.3">
      <c r="A26" s="3">
        <f>E13+E14+E15</f>
        <v>4</v>
      </c>
      <c r="B26" s="4" t="s">
        <v>15</v>
      </c>
      <c r="C26" s="3">
        <v>4</v>
      </c>
      <c r="D26" s="11"/>
      <c r="E26" s="11"/>
      <c r="F26" s="12"/>
      <c r="G26" s="11"/>
      <c r="H26" s="8"/>
    </row>
    <row r="27" spans="1:8" x14ac:dyDescent="0.3">
      <c r="B27" s="1"/>
    </row>
  </sheetData>
  <mergeCells count="24">
    <mergeCell ref="A1:H2"/>
    <mergeCell ref="A3:H3"/>
    <mergeCell ref="D19:E21"/>
    <mergeCell ref="D23:E26"/>
    <mergeCell ref="F19:F26"/>
    <mergeCell ref="G24:H24"/>
    <mergeCell ref="G19:H19"/>
    <mergeCell ref="G25:G26"/>
    <mergeCell ref="H25:H26"/>
    <mergeCell ref="G20:G21"/>
    <mergeCell ref="H20:H21"/>
    <mergeCell ref="G22:H23"/>
    <mergeCell ref="A16:E16"/>
    <mergeCell ref="F10:H18"/>
    <mergeCell ref="A22:C22"/>
    <mergeCell ref="D22:E22"/>
    <mergeCell ref="A17:E18"/>
    <mergeCell ref="A10:E11"/>
    <mergeCell ref="F4:H4"/>
    <mergeCell ref="F5:H5"/>
    <mergeCell ref="F6:H6"/>
    <mergeCell ref="F7:H7"/>
    <mergeCell ref="F8:H8"/>
    <mergeCell ref="A9:H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2026-04-19T22:04:06Z</dcterms:created>
  <dcterms:modified xsi:type="dcterms:W3CDTF">2026-04-23T00:34:52Z</dcterms:modified>
</cp:coreProperties>
</file>