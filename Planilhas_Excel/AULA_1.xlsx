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erg\Desktop\"/>
    </mc:Choice>
  </mc:AlternateContent>
  <xr:revisionPtr revIDLastSave="0" documentId="13_ncr:1_{2087C141-98B1-4B9F-AB38-C3A74F57E562}" xr6:coauthVersionLast="36" xr6:coauthVersionMax="36" xr10:uidLastSave="{00000000-0000-0000-0000-000000000000}"/>
  <bookViews>
    <workbookView xWindow="0" yWindow="0" windowWidth="23040" windowHeight="8940" xr2:uid="{12C885B9-B223-4EF8-A831-DFF5430F3CEA}"/>
  </bookViews>
  <sheets>
    <sheet name="Dados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3" i="1"/>
  <c r="H4" i="1"/>
  <c r="H5" i="1"/>
  <c r="H6" i="1"/>
  <c r="H7" i="1"/>
  <c r="H3" i="1"/>
  <c r="H8" i="1" s="1"/>
  <c r="G4" i="1"/>
  <c r="G5" i="1"/>
  <c r="G6" i="1"/>
  <c r="G7" i="1"/>
  <c r="G3" i="1"/>
  <c r="G8" i="1" l="1"/>
  <c r="I8" i="1"/>
  <c r="K2" i="1" s="1"/>
  <c r="J2" i="1"/>
</calcChain>
</file>

<file path=xl/sharedStrings.xml><?xml version="1.0" encoding="utf-8"?>
<sst xmlns="http://schemas.openxmlformats.org/spreadsheetml/2006/main" count="19" uniqueCount="18">
  <si>
    <t>Xi</t>
  </si>
  <si>
    <t>Yi</t>
  </si>
  <si>
    <t>Vi</t>
  </si>
  <si>
    <t>Ri</t>
  </si>
  <si>
    <t>Tipo</t>
  </si>
  <si>
    <t>Ponto i</t>
  </si>
  <si>
    <t>Volume</t>
  </si>
  <si>
    <t>Frete</t>
  </si>
  <si>
    <t>Vi Ri</t>
  </si>
  <si>
    <t>S</t>
  </si>
  <si>
    <t>Vi Ri Xi</t>
  </si>
  <si>
    <t>Vi  Ri Yi</t>
  </si>
  <si>
    <t>Fábrica-P1</t>
  </si>
  <si>
    <t>Fábrica-P2</t>
  </si>
  <si>
    <t>Cliente-M3</t>
  </si>
  <si>
    <t>Cliente-M4</t>
  </si>
  <si>
    <t>Cliente-M5</t>
  </si>
  <si>
    <t xml:space="preserve">Coordenadas do CG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</si>
</sst>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Symbol"/>
      <family val="1"/>
      <charset val="2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/>
    <xf numFmtId="0" fontId="3" fillId="0" borderId="1" xfId="0" applyFont="1" applyBorder="1"/>
    <xf numFmtId="0" fontId="3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Posicionamento</a:t>
            </a:r>
            <a:r>
              <a:rPr lang="pt-BR" baseline="0"/>
              <a:t> do armazém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Dados!$D$2</c:f>
              <c:strCache>
                <c:ptCount val="1"/>
                <c:pt idx="0">
                  <c:v>Yi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Dados!$C$3:$C$7</c:f>
              <c:numCache>
                <c:formatCode>General</c:formatCode>
                <c:ptCount val="5"/>
                <c:pt idx="0">
                  <c:v>3</c:v>
                </c:pt>
                <c:pt idx="1">
                  <c:v>8</c:v>
                </c:pt>
                <c:pt idx="2">
                  <c:v>2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Dados!$D$3:$D$7</c:f>
              <c:numCache>
                <c:formatCode>General</c:formatCode>
                <c:ptCount val="5"/>
                <c:pt idx="0">
                  <c:v>8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3-4F5F-9A41-7ED190630BC0}"/>
            </c:ext>
          </c:extLst>
        </c:ser>
        <c:ser>
          <c:idx val="1"/>
          <c:order val="1"/>
          <c:tx>
            <c:v>Armazém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Dados!$J$2</c:f>
              <c:numCache>
                <c:formatCode>General</c:formatCode>
                <c:ptCount val="1"/>
                <c:pt idx="0">
                  <c:v>5.16</c:v>
                </c:pt>
              </c:numCache>
            </c:numRef>
          </c:xVal>
          <c:yVal>
            <c:numRef>
              <c:f>Dados!$K$2</c:f>
              <c:numCache>
                <c:formatCode>General</c:formatCode>
                <c:ptCount val="1"/>
                <c:pt idx="0">
                  <c:v>5.18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3-4F5F-9A41-7ED190630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215535"/>
        <c:axId val="1584422735"/>
      </c:scatterChart>
      <c:valAx>
        <c:axId val="24221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4422735"/>
        <c:crosses val="autoZero"/>
        <c:crossBetween val="midCat"/>
      </c:valAx>
      <c:valAx>
        <c:axId val="158442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221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1</xdr:row>
      <xdr:rowOff>388620</xdr:rowOff>
    </xdr:from>
    <xdr:to>
      <xdr:col>10</xdr:col>
      <xdr:colOff>2880360</xdr:colOff>
      <xdr:row>8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424D40-2AE0-404E-B33F-ADC6F0CBB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861060</xdr:colOff>
      <xdr:row>3</xdr:row>
      <xdr:rowOff>60960</xdr:rowOff>
    </xdr:from>
    <xdr:to>
      <xdr:col>9</xdr:col>
      <xdr:colOff>1287780</xdr:colOff>
      <xdr:row>3</xdr:row>
      <xdr:rowOff>323088</xdr:rowOff>
    </xdr:to>
    <xdr:sp macro="" textlink="">
      <xdr:nvSpPr>
        <xdr:cNvPr id="3" name="Balão de Fala: Retângulo 2">
          <a:extLst>
            <a:ext uri="{FF2B5EF4-FFF2-40B4-BE49-F238E27FC236}">
              <a16:creationId xmlns:a16="http://schemas.microsoft.com/office/drawing/2014/main" id="{A4A1EA32-40A2-4DF6-9587-E0D3A4864B32}"/>
            </a:ext>
          </a:extLst>
        </xdr:cNvPr>
        <xdr:cNvSpPr/>
      </xdr:nvSpPr>
      <xdr:spPr>
        <a:xfrm>
          <a:off x="8656320" y="1249680"/>
          <a:ext cx="426720" cy="262128"/>
        </a:xfrm>
        <a:prstGeom prst="wedgeRectCallout">
          <a:avLst>
            <a:gd name="adj1" fmla="val 209405"/>
            <a:gd name="adj2" fmla="val 3101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P-1</a:t>
          </a:r>
        </a:p>
        <a:p>
          <a:pPr algn="l"/>
          <a:endParaRPr lang="pt-BR" sz="1100"/>
        </a:p>
      </xdr:txBody>
    </xdr:sp>
    <xdr:clientData/>
  </xdr:twoCellAnchor>
  <xdr:oneCellAnchor>
    <xdr:from>
      <xdr:col>7</xdr:col>
      <xdr:colOff>800100</xdr:colOff>
      <xdr:row>5</xdr:row>
      <xdr:rowOff>198120</xdr:rowOff>
    </xdr:from>
    <xdr:ext cx="65" cy="172227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DDD9250E-B9AE-487C-8A3B-179939D31D21}"/>
            </a:ext>
          </a:extLst>
        </xdr:cNvPr>
        <xdr:cNvSpPr txBox="1"/>
      </xdr:nvSpPr>
      <xdr:spPr>
        <a:xfrm>
          <a:off x="6629400" y="21793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632461</xdr:colOff>
      <xdr:row>9</xdr:row>
      <xdr:rowOff>297180</xdr:rowOff>
    </xdr:from>
    <xdr:ext cx="434339" cy="31242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9889070D-8E91-4A64-B77A-0CFAEBCA9791}"/>
            </a:ext>
          </a:extLst>
        </xdr:cNvPr>
        <xdr:cNvSpPr txBox="1"/>
      </xdr:nvSpPr>
      <xdr:spPr>
        <a:xfrm rot="21054300">
          <a:off x="4739641" y="3863340"/>
          <a:ext cx="434339" cy="31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2613660</xdr:colOff>
      <xdr:row>0</xdr:row>
      <xdr:rowOff>68580</xdr:rowOff>
    </xdr:from>
    <xdr:ext cx="218778" cy="318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3CC2410F-1549-4157-9379-BB3EE96A1171}"/>
                </a:ext>
              </a:extLst>
            </xdr:cNvPr>
            <xdr:cNvSpPr txBox="1"/>
          </xdr:nvSpPr>
          <xdr:spPr>
            <a:xfrm>
              <a:off x="13228320" y="68580"/>
              <a:ext cx="218778" cy="318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pt-BR" sz="20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</m:oMath>
                </m:oMathPara>
              </a14:m>
              <a:endParaRPr lang="pt-BR" sz="2000"/>
            </a:p>
          </xdr:txBody>
        </xdr:sp>
      </mc:Choice>
      <mc:Fallback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3CC2410F-1549-4157-9379-BB3EE96A1171}"/>
                </a:ext>
              </a:extLst>
            </xdr:cNvPr>
            <xdr:cNvSpPr txBox="1"/>
          </xdr:nvSpPr>
          <xdr:spPr>
            <a:xfrm>
              <a:off x="13228320" y="68580"/>
              <a:ext cx="218778" cy="318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2000" b="0" i="0">
                  <a:latin typeface="Cambria Math" panose="02040503050406030204" pitchFamily="18" charset="0"/>
                </a:rPr>
                <a:t>𝑌 ̅</a:t>
              </a:r>
              <a:endParaRPr lang="pt-BR" sz="2000"/>
            </a:p>
          </xdr:txBody>
        </xdr:sp>
      </mc:Fallback>
    </mc:AlternateContent>
    <xdr:clientData/>
  </xdr:oneCellAnchor>
  <xdr:oneCellAnchor>
    <xdr:from>
      <xdr:col>9</xdr:col>
      <xdr:colOff>2613660</xdr:colOff>
      <xdr:row>0</xdr:row>
      <xdr:rowOff>76200</xdr:rowOff>
    </xdr:from>
    <xdr:ext cx="213360" cy="318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198536BA-8D02-429B-93ED-1AF2B15E521D}"/>
                </a:ext>
              </a:extLst>
            </xdr:cNvPr>
            <xdr:cNvSpPr txBox="1"/>
          </xdr:nvSpPr>
          <xdr:spPr>
            <a:xfrm>
              <a:off x="10408920" y="76200"/>
              <a:ext cx="213360" cy="318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pt-BR" sz="20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</m:acc>
                  </m:oMath>
                </m:oMathPara>
              </a14:m>
              <a:endParaRPr lang="pt-BR" sz="2000"/>
            </a:p>
          </xdr:txBody>
        </xdr:sp>
      </mc:Choice>
      <mc:Fallback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198536BA-8D02-429B-93ED-1AF2B15E521D}"/>
                </a:ext>
              </a:extLst>
            </xdr:cNvPr>
            <xdr:cNvSpPr txBox="1"/>
          </xdr:nvSpPr>
          <xdr:spPr>
            <a:xfrm>
              <a:off x="10408920" y="76200"/>
              <a:ext cx="213360" cy="318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2000" b="0" i="0">
                  <a:latin typeface="Cambria Math" panose="02040503050406030204" pitchFamily="18" charset="0"/>
                </a:rPr>
                <a:t>𝑋 ̅</a:t>
              </a:r>
              <a:endParaRPr lang="pt-BR" sz="2000"/>
            </a:p>
          </xdr:txBody>
        </xdr:sp>
      </mc:Fallback>
    </mc:AlternateContent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0.09167</cdr:x>
      <cdr:y>0.49063</cdr:y>
    </cdr:from>
    <cdr:to>
      <cdr:x>0.20778</cdr:x>
      <cdr:y>0.59169</cdr:y>
    </cdr:to>
    <cdr:sp macro="" textlink="">
      <cdr:nvSpPr>
        <cdr:cNvPr id="6" name="Balão de Fala: Retângulo 5">
          <a:extLst xmlns:a="http://schemas.openxmlformats.org/drawingml/2006/main">
            <a:ext uri="{FF2B5EF4-FFF2-40B4-BE49-F238E27FC236}">
              <a16:creationId xmlns:a16="http://schemas.microsoft.com/office/drawing/2014/main" id="{A4A1EA32-40A2-4DF6-9587-E0D3A4864B32}"/>
            </a:ext>
          </a:extLst>
        </cdr:cNvPr>
        <cdr:cNvSpPr/>
      </cdr:nvSpPr>
      <cdr:spPr>
        <a:xfrm xmlns:a="http://schemas.openxmlformats.org/drawingml/2006/main">
          <a:off x="521081" y="1196346"/>
          <a:ext cx="660036" cy="246424"/>
        </a:xfrm>
        <a:prstGeom xmlns:a="http://schemas.openxmlformats.org/drawingml/2006/main" prst="wedgeRectCallout">
          <a:avLst>
            <a:gd name="adj1" fmla="val 82330"/>
            <a:gd name="adj2" fmla="val -39628"/>
          </a:avLst>
        </a:prstGeom>
        <a:solidFill xmlns:a="http://schemas.openxmlformats.org/drawingml/2006/main">
          <a:schemeClr val="accent6">
            <a:lumMod val="7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/>
            <a:t>M-3</a:t>
          </a:r>
        </a:p>
        <a:p xmlns:a="http://schemas.openxmlformats.org/drawingml/2006/main">
          <a:pPr algn="l"/>
          <a:endParaRPr lang="pt-BR" sz="1100"/>
        </a:p>
      </cdr:txBody>
    </cdr:sp>
  </cdr:relSizeAnchor>
  <cdr:relSizeAnchor xmlns:cdr="http://schemas.openxmlformats.org/drawingml/2006/chartDrawing">
    <cdr:from>
      <cdr:x>0.48833</cdr:x>
      <cdr:y>0.59576</cdr:y>
    </cdr:from>
    <cdr:to>
      <cdr:x>0.58944</cdr:x>
      <cdr:y>0.69688</cdr:y>
    </cdr:to>
    <cdr:sp macro="" textlink="">
      <cdr:nvSpPr>
        <cdr:cNvPr id="7" name="Balão de Fala: Retângulo 6">
          <a:extLst xmlns:a="http://schemas.openxmlformats.org/drawingml/2006/main">
            <a:ext uri="{FF2B5EF4-FFF2-40B4-BE49-F238E27FC236}">
              <a16:creationId xmlns:a16="http://schemas.microsoft.com/office/drawing/2014/main" id="{AE951013-49BF-475C-A1B5-05EFF481B532}"/>
            </a:ext>
          </a:extLst>
        </cdr:cNvPr>
        <cdr:cNvSpPr/>
      </cdr:nvSpPr>
      <cdr:spPr>
        <a:xfrm xmlns:a="http://schemas.openxmlformats.org/drawingml/2006/main">
          <a:off x="2775941" y="1452706"/>
          <a:ext cx="574768" cy="246554"/>
        </a:xfrm>
        <a:prstGeom xmlns:a="http://schemas.openxmlformats.org/drawingml/2006/main" prst="wedgeRectCallout">
          <a:avLst>
            <a:gd name="adj1" fmla="val 112170"/>
            <a:gd name="adj2" fmla="val -81089"/>
          </a:avLst>
        </a:prstGeom>
        <a:solidFill xmlns:a="http://schemas.openxmlformats.org/drawingml/2006/main">
          <a:schemeClr val="accent6">
            <a:lumMod val="7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/>
            <a:t>M-4</a:t>
          </a:r>
        </a:p>
        <a:p xmlns:a="http://schemas.openxmlformats.org/drawingml/2006/main">
          <a:pPr algn="l"/>
          <a:endParaRPr lang="pt-BR" sz="1100"/>
        </a:p>
      </cdr:txBody>
    </cdr:sp>
  </cdr:relSizeAnchor>
  <cdr:relSizeAnchor xmlns:cdr="http://schemas.openxmlformats.org/drawingml/2006/chartDrawing">
    <cdr:from>
      <cdr:x>0.72</cdr:x>
      <cdr:y>0.25346</cdr:y>
    </cdr:from>
    <cdr:to>
      <cdr:x>0.81167</cdr:x>
      <cdr:y>0.35452</cdr:y>
    </cdr:to>
    <cdr:sp macro="" textlink="">
      <cdr:nvSpPr>
        <cdr:cNvPr id="8" name="Balão de Fala: Retângulo 7">
          <a:extLst xmlns:a="http://schemas.openxmlformats.org/drawingml/2006/main">
            <a:ext uri="{FF2B5EF4-FFF2-40B4-BE49-F238E27FC236}">
              <a16:creationId xmlns:a16="http://schemas.microsoft.com/office/drawing/2014/main" id="{486DF049-1B1B-42B4-9D58-8C699A73D912}"/>
            </a:ext>
          </a:extLst>
        </cdr:cNvPr>
        <cdr:cNvSpPr/>
      </cdr:nvSpPr>
      <cdr:spPr>
        <a:xfrm xmlns:a="http://schemas.openxmlformats.org/drawingml/2006/main">
          <a:off x="4092854" y="618046"/>
          <a:ext cx="521081" cy="246423"/>
        </a:xfrm>
        <a:prstGeom xmlns:a="http://schemas.openxmlformats.org/drawingml/2006/main" prst="wedgeRectCallout">
          <a:avLst>
            <a:gd name="adj1" fmla="val 104409"/>
            <a:gd name="adj2" fmla="val -33512"/>
          </a:avLst>
        </a:prstGeom>
        <a:solidFill xmlns:a="http://schemas.openxmlformats.org/drawingml/2006/main">
          <a:schemeClr val="accent6">
            <a:lumMod val="7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/>
            <a:t>M-5</a:t>
          </a:r>
        </a:p>
        <a:p xmlns:a="http://schemas.openxmlformats.org/drawingml/2006/main">
          <a:pPr algn="l"/>
          <a:endParaRPr lang="pt-BR" sz="1100"/>
        </a:p>
      </cdr:txBody>
    </cdr:sp>
  </cdr:relSizeAnchor>
  <cdr:relSizeAnchor xmlns:cdr="http://schemas.openxmlformats.org/drawingml/2006/chartDrawing">
    <cdr:from>
      <cdr:x>0.68333</cdr:x>
      <cdr:y>0.7718</cdr:y>
    </cdr:from>
    <cdr:to>
      <cdr:x>0.79444</cdr:x>
      <cdr:y>0.86308</cdr:y>
    </cdr:to>
    <cdr:sp macro="" textlink="">
      <cdr:nvSpPr>
        <cdr:cNvPr id="9" name="Balão de Fala: Retângulo 8">
          <a:extLst xmlns:a="http://schemas.openxmlformats.org/drawingml/2006/main">
            <a:ext uri="{FF2B5EF4-FFF2-40B4-BE49-F238E27FC236}">
              <a16:creationId xmlns:a16="http://schemas.microsoft.com/office/drawing/2014/main" id="{8408EF33-03D2-4F27-A518-35FBB5CBF02B}"/>
            </a:ext>
          </a:extLst>
        </cdr:cNvPr>
        <cdr:cNvSpPr/>
      </cdr:nvSpPr>
      <cdr:spPr>
        <a:xfrm xmlns:a="http://schemas.openxmlformats.org/drawingml/2006/main">
          <a:off x="3884422" y="1881960"/>
          <a:ext cx="631613" cy="222576"/>
        </a:xfrm>
        <a:prstGeom xmlns:a="http://schemas.openxmlformats.org/drawingml/2006/main" prst="wedgeRectCallout">
          <a:avLst>
            <a:gd name="adj1" fmla="val 103947"/>
            <a:gd name="adj2" fmla="val -91953"/>
          </a:avLst>
        </a:prstGeom>
        <a:solidFill xmlns:a="http://schemas.openxmlformats.org/drawingml/2006/main">
          <a:schemeClr val="accent6">
            <a:lumMod val="7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/>
            <a:t>P-2</a:t>
          </a:r>
        </a:p>
        <a:p xmlns:a="http://schemas.openxmlformats.org/drawingml/2006/main">
          <a:pPr algn="l"/>
          <a:endParaRPr lang="pt-BR" sz="1100"/>
        </a:p>
      </cdr:txBody>
    </cdr:sp>
  </cdr:relSizeAnchor>
  <cdr:relSizeAnchor xmlns:cdr="http://schemas.openxmlformats.org/drawingml/2006/chartDrawing">
    <cdr:from>
      <cdr:x>0.30667</cdr:x>
      <cdr:y>0.32926</cdr:y>
    </cdr:from>
    <cdr:to>
      <cdr:x>0.48667</cdr:x>
      <cdr:y>0.43032</cdr:y>
    </cdr:to>
    <cdr:sp macro="" textlink="">
      <cdr:nvSpPr>
        <cdr:cNvPr id="10" name="Balão de Fala: Retângulo 9">
          <a:extLst xmlns:a="http://schemas.openxmlformats.org/drawingml/2006/main">
            <a:ext uri="{FF2B5EF4-FFF2-40B4-BE49-F238E27FC236}">
              <a16:creationId xmlns:a16="http://schemas.microsoft.com/office/drawing/2014/main" id="{5D421A3F-B0DB-401A-A5E3-C43A57DCE605}"/>
            </a:ext>
          </a:extLst>
        </cdr:cNvPr>
        <cdr:cNvSpPr/>
      </cdr:nvSpPr>
      <cdr:spPr>
        <a:xfrm xmlns:a="http://schemas.openxmlformats.org/drawingml/2006/main">
          <a:off x="1743253" y="802864"/>
          <a:ext cx="1023213" cy="246423"/>
        </a:xfrm>
        <a:prstGeom xmlns:a="http://schemas.openxmlformats.org/drawingml/2006/main" prst="wedgeRectCallout">
          <a:avLst>
            <a:gd name="adj1" fmla="val 93496"/>
            <a:gd name="adj2" fmla="val 90344"/>
          </a:avLst>
        </a:prstGeom>
        <a:solidFill xmlns:a="http://schemas.openxmlformats.org/drawingml/2006/main">
          <a:srgbClr val="FFFF00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 b="1">
              <a:solidFill>
                <a:sysClr val="windowText" lastClr="000000"/>
              </a:solidFill>
            </a:rPr>
            <a:t>Armazém</a:t>
          </a:r>
        </a:p>
        <a:p xmlns:a="http://schemas.openxmlformats.org/drawingml/2006/main">
          <a:pPr algn="l"/>
          <a:endParaRPr lang="pt-BR" sz="1100"/>
        </a:p>
        <a:p xmlns:a="http://schemas.openxmlformats.org/drawingml/2006/main">
          <a:pPr algn="l"/>
          <a:endParaRPr lang="pt-BR" sz="1100"/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7C39-380C-49C1-924F-AAAAD61E0069}">
  <dimension ref="A1:S18"/>
  <sheetViews>
    <sheetView tabSelected="1" workbookViewId="0">
      <selection activeCell="E10" sqref="E10"/>
    </sheetView>
  </sheetViews>
  <sheetFormatPr defaultRowHeight="25.8" x14ac:dyDescent="0.5"/>
  <cols>
    <col min="1" max="1" width="14.33203125" style="4" bestFit="1" customWidth="1"/>
    <col min="2" max="2" width="20.5546875" style="4" customWidth="1"/>
    <col min="3" max="3" width="4.77734375" style="4" bestFit="1" customWidth="1"/>
    <col min="4" max="4" width="4.6640625" style="4" bestFit="1" customWidth="1"/>
    <col min="5" max="5" width="15.5546875" style="4" bestFit="1" customWidth="1"/>
    <col min="6" max="7" width="12.5546875" style="4" bestFit="1" customWidth="1"/>
    <col min="8" max="8" width="13.88671875" style="4" bestFit="1" customWidth="1"/>
    <col min="9" max="9" width="14.77734375" style="4" bestFit="1" customWidth="1"/>
    <col min="10" max="10" width="41.109375" bestFit="1" customWidth="1"/>
    <col min="11" max="11" width="42.109375" customWidth="1"/>
  </cols>
  <sheetData>
    <row r="1" spans="1:19" ht="31.2" x14ac:dyDescent="0.6">
      <c r="A1" s="3"/>
      <c r="B1" s="3"/>
      <c r="C1" s="3"/>
      <c r="D1" s="3"/>
      <c r="E1" s="2" t="s">
        <v>6</v>
      </c>
      <c r="F1" s="2" t="s">
        <v>7</v>
      </c>
      <c r="G1" s="3"/>
      <c r="H1" s="3"/>
      <c r="I1" s="3"/>
      <c r="J1" s="10" t="s">
        <v>17</v>
      </c>
      <c r="K1" s="10" t="s">
        <v>17</v>
      </c>
      <c r="L1" s="9"/>
      <c r="M1" s="9"/>
      <c r="N1" s="9"/>
      <c r="O1" s="9"/>
      <c r="P1" s="9"/>
      <c r="Q1" s="9"/>
      <c r="R1" s="9"/>
      <c r="S1" s="9"/>
    </row>
    <row r="2" spans="1:19" ht="31.2" x14ac:dyDescent="0.6">
      <c r="A2" s="2" t="s">
        <v>5</v>
      </c>
      <c r="B2" s="2" t="s">
        <v>4</v>
      </c>
      <c r="C2" s="2" t="s">
        <v>0</v>
      </c>
      <c r="D2" s="2" t="s">
        <v>1</v>
      </c>
      <c r="E2" s="2" t="s">
        <v>2</v>
      </c>
      <c r="F2" s="2" t="s">
        <v>3</v>
      </c>
      <c r="G2" s="5" t="s">
        <v>8</v>
      </c>
      <c r="H2" s="2" t="s">
        <v>10</v>
      </c>
      <c r="I2" s="2" t="s">
        <v>11</v>
      </c>
      <c r="J2" s="10">
        <f>H8/G8</f>
        <v>5.16</v>
      </c>
      <c r="K2" s="10">
        <f>I8/G8</f>
        <v>5.18</v>
      </c>
      <c r="L2" s="9"/>
      <c r="M2" s="9"/>
      <c r="N2" s="9"/>
      <c r="O2" s="9"/>
      <c r="P2" s="9"/>
      <c r="Q2" s="9"/>
      <c r="R2" s="9"/>
      <c r="S2" s="9"/>
    </row>
    <row r="3" spans="1:19" ht="31.2" x14ac:dyDescent="0.6">
      <c r="A3" s="2">
        <v>1</v>
      </c>
      <c r="B3" s="2" t="s">
        <v>12</v>
      </c>
      <c r="C3" s="2">
        <v>3</v>
      </c>
      <c r="D3" s="2">
        <v>8</v>
      </c>
      <c r="E3" s="2">
        <v>2000</v>
      </c>
      <c r="F3" s="2">
        <v>0.05</v>
      </c>
      <c r="G3" s="2">
        <f>E3*F3</f>
        <v>100</v>
      </c>
      <c r="H3" s="2">
        <f>C3*E3*F3</f>
        <v>300</v>
      </c>
      <c r="I3" s="2">
        <f>E3*F3*D3</f>
        <v>800</v>
      </c>
      <c r="J3" s="2"/>
      <c r="K3" s="2"/>
      <c r="L3" s="9"/>
      <c r="M3" s="9"/>
      <c r="N3" s="9"/>
      <c r="O3" s="9"/>
      <c r="P3" s="9"/>
      <c r="Q3" s="9"/>
      <c r="R3" s="9"/>
      <c r="S3" s="9"/>
    </row>
    <row r="4" spans="1:19" ht="31.2" x14ac:dyDescent="0.6">
      <c r="A4" s="2">
        <v>2</v>
      </c>
      <c r="B4" s="2" t="s">
        <v>13</v>
      </c>
      <c r="C4" s="2">
        <v>8</v>
      </c>
      <c r="D4" s="2">
        <v>2</v>
      </c>
      <c r="E4" s="2">
        <v>3000</v>
      </c>
      <c r="F4" s="2">
        <v>0.05</v>
      </c>
      <c r="G4" s="2">
        <f t="shared" ref="G4:G7" si="0">E4*F4</f>
        <v>150</v>
      </c>
      <c r="H4" s="2">
        <f t="shared" ref="H4:H7" si="1">C4*E4*F4</f>
        <v>1200</v>
      </c>
      <c r="I4" s="2">
        <f t="shared" ref="I4:I7" si="2">E4*F4*D4</f>
        <v>300</v>
      </c>
      <c r="J4" s="1"/>
      <c r="K4" s="8"/>
      <c r="L4" s="9"/>
      <c r="M4" s="9"/>
      <c r="N4" s="9"/>
      <c r="O4" s="9"/>
      <c r="P4" s="9"/>
      <c r="Q4" s="9"/>
      <c r="R4" s="9"/>
      <c r="S4" s="9"/>
    </row>
    <row r="5" spans="1:19" ht="31.2" x14ac:dyDescent="0.6">
      <c r="A5" s="2">
        <v>3</v>
      </c>
      <c r="B5" s="2" t="s">
        <v>14</v>
      </c>
      <c r="C5" s="2">
        <v>2</v>
      </c>
      <c r="D5" s="2">
        <v>5</v>
      </c>
      <c r="E5" s="2">
        <v>2500</v>
      </c>
      <c r="F5" s="2">
        <v>7.4999999999999997E-2</v>
      </c>
      <c r="G5" s="2">
        <f t="shared" si="0"/>
        <v>187.5</v>
      </c>
      <c r="H5" s="2">
        <f t="shared" si="1"/>
        <v>375</v>
      </c>
      <c r="I5" s="2">
        <f t="shared" si="2"/>
        <v>937.5</v>
      </c>
      <c r="J5" s="8"/>
      <c r="K5" s="8"/>
      <c r="L5" s="9"/>
      <c r="M5" s="9"/>
      <c r="N5" s="9"/>
      <c r="O5" s="9"/>
      <c r="P5" s="9"/>
      <c r="Q5" s="9"/>
      <c r="R5" s="9"/>
      <c r="S5" s="9"/>
    </row>
    <row r="6" spans="1:19" ht="31.2" x14ac:dyDescent="0.6">
      <c r="A6" s="2">
        <v>4</v>
      </c>
      <c r="B6" s="2" t="s">
        <v>15</v>
      </c>
      <c r="C6" s="2">
        <v>6</v>
      </c>
      <c r="D6" s="2">
        <v>4</v>
      </c>
      <c r="E6" s="2">
        <v>1000</v>
      </c>
      <c r="F6" s="2">
        <v>7.4999999999999997E-2</v>
      </c>
      <c r="G6" s="2">
        <f t="shared" si="0"/>
        <v>75</v>
      </c>
      <c r="H6" s="2">
        <f t="shared" si="1"/>
        <v>450</v>
      </c>
      <c r="I6" s="2">
        <f t="shared" si="2"/>
        <v>300</v>
      </c>
      <c r="J6" s="8"/>
      <c r="K6" s="8"/>
      <c r="L6" s="9"/>
      <c r="M6" s="9"/>
      <c r="N6" s="9"/>
      <c r="O6" s="9"/>
      <c r="P6" s="9"/>
      <c r="Q6" s="9"/>
      <c r="R6" s="9"/>
      <c r="S6" s="9"/>
    </row>
    <row r="7" spans="1:19" ht="31.2" x14ac:dyDescent="0.6">
      <c r="A7" s="2">
        <v>5</v>
      </c>
      <c r="B7" s="2" t="s">
        <v>16</v>
      </c>
      <c r="C7" s="2">
        <v>8</v>
      </c>
      <c r="D7" s="2">
        <v>8</v>
      </c>
      <c r="E7" s="2">
        <v>1500</v>
      </c>
      <c r="F7" s="2">
        <v>7.4999999999999997E-2</v>
      </c>
      <c r="G7" s="2">
        <f t="shared" si="0"/>
        <v>112.5</v>
      </c>
      <c r="H7" s="2">
        <f t="shared" si="1"/>
        <v>900</v>
      </c>
      <c r="I7" s="2">
        <f t="shared" si="2"/>
        <v>900</v>
      </c>
      <c r="J7" s="8"/>
      <c r="K7" s="8"/>
      <c r="L7" s="9"/>
      <c r="M7" s="9"/>
      <c r="N7" s="9"/>
      <c r="O7" s="9"/>
      <c r="P7" s="9"/>
      <c r="Q7" s="9"/>
      <c r="R7" s="9"/>
      <c r="S7" s="9"/>
    </row>
    <row r="8" spans="1:19" ht="31.2" x14ac:dyDescent="0.6">
      <c r="A8" s="3"/>
      <c r="B8" s="3"/>
      <c r="C8" s="3"/>
      <c r="D8" s="3"/>
      <c r="E8" s="3"/>
      <c r="F8" s="6" t="s">
        <v>9</v>
      </c>
      <c r="G8" s="7">
        <f>SUM(G3:G7)</f>
        <v>625</v>
      </c>
      <c r="H8" s="7">
        <f>SUM(H3:H7)</f>
        <v>3225</v>
      </c>
      <c r="I8" s="7">
        <f>SUM(I3:I7)</f>
        <v>3237.5</v>
      </c>
      <c r="J8" s="8"/>
      <c r="K8" s="8"/>
      <c r="L8" s="9"/>
      <c r="M8" s="9"/>
      <c r="N8" s="9"/>
      <c r="O8" s="9"/>
      <c r="P8" s="9"/>
      <c r="Q8" s="9"/>
      <c r="R8" s="9"/>
      <c r="S8" s="9"/>
    </row>
    <row r="9" spans="1:19" ht="31.2" x14ac:dyDescent="0.6"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ht="31.2" x14ac:dyDescent="0.6"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9" ht="31.2" x14ac:dyDescent="0.6"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ht="31.2" x14ac:dyDescent="0.6"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 ht="31.2" x14ac:dyDescent="0.6"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ht="31.2" x14ac:dyDescent="0.6"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ht="31.2" x14ac:dyDescent="0.6"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ht="31.2" x14ac:dyDescent="0.6"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0:19" ht="31.2" x14ac:dyDescent="0.6"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0:19" ht="31.2" x14ac:dyDescent="0.6">
      <c r="J18" s="9"/>
      <c r="K18" s="9"/>
      <c r="L18" s="9"/>
      <c r="M18" s="9"/>
      <c r="N18" s="9"/>
      <c r="O18" s="9"/>
      <c r="P18" s="9"/>
      <c r="Q18" s="9"/>
      <c r="R18" s="9"/>
      <c r="S18" s="9"/>
    </row>
  </sheetData>
  <mergeCells count="3">
    <mergeCell ref="A8:E8"/>
    <mergeCell ref="A1:D1"/>
    <mergeCell ref="G1:I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Sérgio dos Santos</dc:creator>
  <cp:lastModifiedBy>José Sérgio dos Santos</cp:lastModifiedBy>
  <dcterms:created xsi:type="dcterms:W3CDTF">2026-04-01T23:23:48Z</dcterms:created>
  <dcterms:modified xsi:type="dcterms:W3CDTF">2026-04-02T01:02:10Z</dcterms:modified>
</cp:coreProperties>
</file>