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erg\Desktop\"/>
    </mc:Choice>
  </mc:AlternateContent>
  <xr:revisionPtr revIDLastSave="0" documentId="13_ncr:1_{16841AF5-71F3-4FD2-9D29-5979E4AE5CCC}" xr6:coauthVersionLast="36" xr6:coauthVersionMax="36" xr10:uidLastSave="{00000000-0000-0000-0000-000000000000}"/>
  <bookViews>
    <workbookView xWindow="0" yWindow="0" windowWidth="23040" windowHeight="8940" activeTab="1" xr2:uid="{89E34488-5B36-44EB-BEEA-E7F0859D92F3}"/>
  </bookViews>
  <sheets>
    <sheet name="ALFAIATE" sheetId="1" r:id="rId1"/>
    <sheet name="REFINARIA" sheetId="2" r:id="rId2"/>
  </sheets>
  <definedNames>
    <definedName name="solver_adj" localSheetId="0" hidden="1">ALFAIATE!$B$3:$C$3</definedName>
    <definedName name="solver_adj" localSheetId="1" hidden="1">REFINARIA!$B$3:$D$3</definedName>
    <definedName name="solver_cvg" localSheetId="0" hidden="1">0.0001</definedName>
    <definedName name="solver_cvg" localSheetId="1" hidden="1">0.0001</definedName>
    <definedName name="solver_drv" localSheetId="0" hidden="1">1</definedName>
    <definedName name="solver_drv" localSheetId="1" hidden="1">1</definedName>
    <definedName name="solver_eng" localSheetId="0" hidden="1">2</definedName>
    <definedName name="solver_eng" localSheetId="1" hidden="1">2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ALFAIATE!$D$7:$D$9</definedName>
    <definedName name="solver_lhs1" localSheetId="1" hidden="1">REFINARIA!$E$11</definedName>
    <definedName name="solver_lhs2" localSheetId="1" hidden="1">REFINARIA!$E$7:$E$9</definedName>
    <definedName name="solver_lhs3" localSheetId="1" hidden="1">REFINARIA!$G$10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1</definedName>
    <definedName name="solver_num" localSheetId="1" hidden="1">3</definedName>
    <definedName name="solver_nwt" localSheetId="0" hidden="1">1</definedName>
    <definedName name="solver_nwt" localSheetId="1" hidden="1">1</definedName>
    <definedName name="solver_opt" localSheetId="0" hidden="1">ALFAIATE!$D$4</definedName>
    <definedName name="solver_opt" localSheetId="1" hidden="1">REFINARIA!$E$4</definedName>
    <definedName name="solver_pre" localSheetId="0" hidden="1">0.000001</definedName>
    <definedName name="solver_pre" localSheetId="1" hidden="1">0.000001</definedName>
    <definedName name="solver_rbv" localSheetId="0" hidden="1">1</definedName>
    <definedName name="solver_rbv" localSheetId="1" hidden="1">1</definedName>
    <definedName name="solver_rel1" localSheetId="0" hidden="1">1</definedName>
    <definedName name="solver_rel1" localSheetId="1" hidden="1">1</definedName>
    <definedName name="solver_rel2" localSheetId="1" hidden="1">1</definedName>
    <definedName name="solver_rel3" localSheetId="1" hidden="1">3</definedName>
    <definedName name="solver_rhs1" localSheetId="0" hidden="1">ALFAIATE!$F$7:$F$9</definedName>
    <definedName name="solver_rhs1" localSheetId="1" hidden="1">REFINARIA!$G$11</definedName>
    <definedName name="solver_rhs2" localSheetId="1" hidden="1">REFINARIA!$G$7:$G$9</definedName>
    <definedName name="solver_rhs3" localSheetId="1" hidden="1">REFINARIA!$G$10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1</definedName>
    <definedName name="solver_scl" localSheetId="1" hidden="1">1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1</definedName>
    <definedName name="solver_typ" localSheetId="1" hidden="1">1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2" l="1"/>
  <c r="E10" i="2"/>
  <c r="E11" i="2"/>
  <c r="E9" i="2"/>
  <c r="E8" i="2"/>
  <c r="E4" i="2"/>
  <c r="D9" i="1" l="1"/>
  <c r="D8" i="1"/>
  <c r="D7" i="1"/>
  <c r="D4" i="1"/>
</calcChain>
</file>

<file path=xl/sharedStrings.xml><?xml version="1.0" encoding="utf-8"?>
<sst xmlns="http://schemas.openxmlformats.org/spreadsheetml/2006/main" count="36" uniqueCount="30">
  <si>
    <t>Alfaiate</t>
  </si>
  <si>
    <t>Peças</t>
  </si>
  <si>
    <t>Terno</t>
  </si>
  <si>
    <t>Vestido</t>
  </si>
  <si>
    <t>Variaveis de decisão</t>
  </si>
  <si>
    <t>Preço</t>
  </si>
  <si>
    <t>Função Obj</t>
  </si>
  <si>
    <t>Restrições</t>
  </si>
  <si>
    <t>R1 - ALGODÃO</t>
  </si>
  <si>
    <t>R2 - SEDA</t>
  </si>
  <si>
    <t>R3 - LÃ</t>
  </si>
  <si>
    <t>&lt;=</t>
  </si>
  <si>
    <t>DISPPONÍVEIS</t>
  </si>
  <si>
    <t>DEVE FAZER 7 TERNOS E 2 VESTIDOS PARA TER UM LUCRO DE 3100</t>
  </si>
  <si>
    <t>REFINARIA</t>
  </si>
  <si>
    <t>PRODUTOS</t>
  </si>
  <si>
    <t>VERDE</t>
  </si>
  <si>
    <t>AZUL</t>
  </si>
  <si>
    <t>COMUM</t>
  </si>
  <si>
    <t>VARIAVEIS DE DECISÃO</t>
  </si>
  <si>
    <t>CUSTO</t>
  </si>
  <si>
    <t>FUNÇÃO OBJ</t>
  </si>
  <si>
    <t>RESTRIÇÕES</t>
  </si>
  <si>
    <t>R1 - PURA</t>
  </si>
  <si>
    <t>R2 - OCTANA</t>
  </si>
  <si>
    <t>R3 - ADTIVO</t>
  </si>
  <si>
    <t>R4 - COMUM</t>
  </si>
  <si>
    <t>&gt;=</t>
  </si>
  <si>
    <t>R5 - LIMITE DO AZUL</t>
  </si>
  <si>
    <t>DISPONÍVEIS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</si>
</sst>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2" fillId="3" borderId="0" xfId="0" applyFont="1" applyFill="1"/>
    <xf numFmtId="0" fontId="3" fillId="5" borderId="0" xfId="0" applyFont="1" applyFill="1"/>
    <xf numFmtId="0" fontId="3" fillId="6" borderId="0" xfId="0" applyFont="1" applyFill="1" applyAlignment="1">
      <alignment horizontal="center"/>
    </xf>
    <xf numFmtId="0" fontId="3" fillId="6" borderId="0" xfId="0" applyFont="1" applyFill="1"/>
    <xf numFmtId="0" fontId="3" fillId="2" borderId="0" xfId="0" applyFont="1" applyFill="1"/>
    <xf numFmtId="2" fontId="3" fillId="2" borderId="0" xfId="0" applyNumberFormat="1" applyFont="1" applyFill="1"/>
    <xf numFmtId="2" fontId="3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426720</xdr:colOff>
      <xdr:row>0</xdr:row>
      <xdr:rowOff>0</xdr:rowOff>
    </xdr:from>
    <xdr:to>
      <xdr:col>17</xdr:col>
      <xdr:colOff>427301</xdr:colOff>
      <xdr:row>10</xdr:row>
      <xdr:rowOff>284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ABC2D14-8818-4763-B9A1-53A16D7D7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30440" y="0"/>
          <a:ext cx="6706181" cy="32768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518160</xdr:colOff>
      <xdr:row>0</xdr:row>
      <xdr:rowOff>0</xdr:rowOff>
    </xdr:from>
    <xdr:to>
      <xdr:col>15</xdr:col>
      <xdr:colOff>305270</xdr:colOff>
      <xdr:row>17</xdr:row>
      <xdr:rowOff>64465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1210D1A-6A98-429C-8FE5-F965B7A21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79080" y="0"/>
          <a:ext cx="4663910" cy="5116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E4858-AF6B-432D-B854-E4E8CA9A313B}">
  <dimension ref="A1:F16"/>
  <sheetViews>
    <sheetView showGridLines="0" workbookViewId="0">
      <selection activeCell="C2" sqref="C2"/>
    </sheetView>
  </sheetViews>
  <sheetFormatPr defaultRowHeight="14.4" x14ac:dyDescent="0.3"/>
  <cols>
    <col min="1" max="1" width="32.109375" bestFit="1" customWidth="1"/>
    <col min="2" max="2" width="10.109375" bestFit="1" customWidth="1"/>
    <col min="3" max="3" width="12.6640625" bestFit="1" customWidth="1"/>
    <col min="4" max="4" width="18.33203125" bestFit="1" customWidth="1"/>
    <col min="5" max="5" width="5" bestFit="1" customWidth="1"/>
    <col min="6" max="6" width="22.44140625" bestFit="1" customWidth="1"/>
  </cols>
  <sheetData>
    <row r="1" spans="1:6" ht="25.8" x14ac:dyDescent="0.5">
      <c r="A1" s="3" t="s">
        <v>0</v>
      </c>
      <c r="B1" s="3"/>
      <c r="C1" s="3"/>
      <c r="D1" s="3"/>
      <c r="E1" s="3"/>
      <c r="F1" s="3"/>
    </row>
    <row r="2" spans="1:6" ht="25.8" x14ac:dyDescent="0.5">
      <c r="A2" s="2" t="s">
        <v>1</v>
      </c>
      <c r="B2" s="2" t="s">
        <v>2</v>
      </c>
      <c r="C2" s="2" t="s">
        <v>3</v>
      </c>
      <c r="D2" s="2"/>
      <c r="E2" s="2"/>
      <c r="F2" s="2"/>
    </row>
    <row r="3" spans="1:6" ht="25.8" x14ac:dyDescent="0.5">
      <c r="A3" s="2" t="s">
        <v>4</v>
      </c>
      <c r="B3" s="1">
        <v>7</v>
      </c>
      <c r="C3" s="1">
        <v>1.9999999999999996</v>
      </c>
      <c r="D3" s="2" t="s">
        <v>6</v>
      </c>
      <c r="E3" s="2"/>
      <c r="F3" s="2"/>
    </row>
    <row r="4" spans="1:6" ht="25.8" x14ac:dyDescent="0.5">
      <c r="A4" s="2" t="s">
        <v>5</v>
      </c>
      <c r="B4" s="2">
        <v>300</v>
      </c>
      <c r="C4" s="2">
        <v>500</v>
      </c>
      <c r="D4" s="1">
        <f>B4*B3+C4*C3</f>
        <v>3100</v>
      </c>
      <c r="E4" s="2"/>
      <c r="F4" s="2"/>
    </row>
    <row r="5" spans="1:6" ht="25.8" x14ac:dyDescent="0.5">
      <c r="A5" s="2"/>
      <c r="B5" s="2"/>
      <c r="C5" s="2"/>
      <c r="D5" s="2"/>
      <c r="E5" s="2"/>
      <c r="F5" s="2"/>
    </row>
    <row r="6" spans="1:6" ht="25.8" x14ac:dyDescent="0.5">
      <c r="A6" s="3" t="s">
        <v>7</v>
      </c>
      <c r="B6" s="3"/>
      <c r="C6" s="3"/>
      <c r="D6" s="3"/>
      <c r="E6" s="3"/>
      <c r="F6" s="4" t="s">
        <v>12</v>
      </c>
    </row>
    <row r="7" spans="1:6" ht="25.8" x14ac:dyDescent="0.5">
      <c r="A7" s="2" t="s">
        <v>8</v>
      </c>
      <c r="B7" s="2">
        <v>2</v>
      </c>
      <c r="C7" s="2">
        <v>1</v>
      </c>
      <c r="D7" s="2">
        <f>B7*B3+C7*C3</f>
        <v>16</v>
      </c>
      <c r="E7" s="2" t="s">
        <v>11</v>
      </c>
      <c r="F7" s="2">
        <v>16</v>
      </c>
    </row>
    <row r="8" spans="1:6" ht="25.8" x14ac:dyDescent="0.5">
      <c r="A8" s="2" t="s">
        <v>9</v>
      </c>
      <c r="B8" s="2">
        <v>1</v>
      </c>
      <c r="C8" s="2">
        <v>2</v>
      </c>
      <c r="D8" s="2">
        <f>B8*B3+C8*C3</f>
        <v>11</v>
      </c>
      <c r="E8" s="2" t="s">
        <v>11</v>
      </c>
      <c r="F8" s="2">
        <v>11</v>
      </c>
    </row>
    <row r="9" spans="1:6" ht="25.8" x14ac:dyDescent="0.5">
      <c r="A9" s="2" t="s">
        <v>10</v>
      </c>
      <c r="B9" s="2">
        <v>1</v>
      </c>
      <c r="C9" s="2">
        <v>3</v>
      </c>
      <c r="D9" s="2">
        <f>B9*B3+C9*C3</f>
        <v>12.999999999999998</v>
      </c>
      <c r="E9" s="2" t="s">
        <v>11</v>
      </c>
      <c r="F9" s="2">
        <v>15</v>
      </c>
    </row>
    <row r="10" spans="1:6" ht="25.8" x14ac:dyDescent="0.5">
      <c r="A10" s="2"/>
      <c r="B10" s="2"/>
      <c r="C10" s="2"/>
      <c r="D10" s="2"/>
      <c r="E10" s="2"/>
      <c r="F10" s="2"/>
    </row>
    <row r="11" spans="1:6" ht="25.8" x14ac:dyDescent="0.5">
      <c r="A11" s="2"/>
      <c r="B11" s="2"/>
      <c r="C11" s="2"/>
      <c r="D11" s="2"/>
      <c r="E11" s="2"/>
      <c r="F11" s="2"/>
    </row>
    <row r="12" spans="1:6" ht="21" x14ac:dyDescent="0.4">
      <c r="A12" s="5" t="s">
        <v>13</v>
      </c>
      <c r="B12" s="5"/>
      <c r="C12" s="5"/>
      <c r="D12" s="5"/>
      <c r="E12" s="5"/>
      <c r="F12" s="5"/>
    </row>
    <row r="13" spans="1:6" ht="25.8" x14ac:dyDescent="0.5">
      <c r="A13" s="2"/>
      <c r="B13" s="2"/>
      <c r="C13" s="2"/>
      <c r="D13" s="2"/>
      <c r="E13" s="2"/>
      <c r="F13" s="2"/>
    </row>
    <row r="14" spans="1:6" ht="25.8" x14ac:dyDescent="0.5">
      <c r="A14" s="2"/>
      <c r="B14" s="2"/>
      <c r="C14" s="2"/>
      <c r="D14" s="2"/>
      <c r="E14" s="2"/>
      <c r="F14" s="2"/>
    </row>
    <row r="15" spans="1:6" ht="25.8" x14ac:dyDescent="0.5">
      <c r="A15" s="2"/>
      <c r="B15" s="2"/>
      <c r="C15" s="2"/>
      <c r="D15" s="2"/>
      <c r="E15" s="2"/>
      <c r="F15" s="2"/>
    </row>
    <row r="16" spans="1:6" ht="25.8" x14ac:dyDescent="0.5">
      <c r="A16" s="2"/>
      <c r="B16" s="2"/>
      <c r="C16" s="2"/>
      <c r="D16" s="2"/>
      <c r="E16" s="2"/>
      <c r="F16" s="2"/>
    </row>
  </sheetData>
  <mergeCells count="2">
    <mergeCell ref="A6:E6"/>
    <mergeCell ref="A1:F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34F3-4EA4-4AB1-A6C9-4ABAE0D845CB}">
  <dimension ref="A1:G19"/>
  <sheetViews>
    <sheetView tabSelected="1" workbookViewId="0">
      <selection activeCell="E7" sqref="E7"/>
    </sheetView>
  </sheetViews>
  <sheetFormatPr defaultRowHeight="14.4" x14ac:dyDescent="0.3"/>
  <cols>
    <col min="1" max="1" width="33.33203125" bestFit="1" customWidth="1"/>
    <col min="2" max="2" width="19.77734375" bestFit="1" customWidth="1"/>
    <col min="3" max="3" width="11.21875" bestFit="1" customWidth="1"/>
    <col min="4" max="4" width="19.77734375" bestFit="1" customWidth="1"/>
    <col min="5" max="5" width="20.77734375" bestFit="1" customWidth="1"/>
    <col min="6" max="6" width="4.5546875" bestFit="1" customWidth="1"/>
    <col min="7" max="7" width="18.88671875" bestFit="1" customWidth="1"/>
  </cols>
  <sheetData>
    <row r="1" spans="1:7" ht="23.4" x14ac:dyDescent="0.45">
      <c r="A1" s="7" t="s">
        <v>14</v>
      </c>
      <c r="B1" s="7"/>
      <c r="C1" s="7"/>
      <c r="D1" s="7"/>
      <c r="E1" s="7"/>
      <c r="F1" s="7"/>
      <c r="G1" s="7"/>
    </row>
    <row r="2" spans="1:7" ht="23.4" x14ac:dyDescent="0.45">
      <c r="A2" s="6" t="s">
        <v>15</v>
      </c>
      <c r="B2" s="6" t="s">
        <v>16</v>
      </c>
      <c r="C2" s="6" t="s">
        <v>17</v>
      </c>
      <c r="D2" s="6" t="s">
        <v>18</v>
      </c>
      <c r="E2" s="6"/>
      <c r="F2" s="6"/>
      <c r="G2" s="6"/>
    </row>
    <row r="3" spans="1:7" ht="23.4" x14ac:dyDescent="0.45">
      <c r="A3" s="6" t="s">
        <v>19</v>
      </c>
      <c r="B3" s="10">
        <v>4734478.5276073636</v>
      </c>
      <c r="C3" s="9">
        <v>600000</v>
      </c>
      <c r="D3" s="9">
        <v>11143803.680981595</v>
      </c>
      <c r="E3" s="6" t="s">
        <v>21</v>
      </c>
      <c r="F3" s="6"/>
      <c r="G3" s="6"/>
    </row>
    <row r="4" spans="1:7" ht="23.4" x14ac:dyDescent="0.45">
      <c r="A4" s="6" t="s">
        <v>20</v>
      </c>
      <c r="B4" s="6">
        <v>0.3</v>
      </c>
      <c r="C4" s="6">
        <v>0.25</v>
      </c>
      <c r="D4" s="6">
        <v>0.2</v>
      </c>
      <c r="E4" s="9">
        <f>B4*B3+C4*C3+D4*D3</f>
        <v>3799104.2944785282</v>
      </c>
      <c r="F4" s="6"/>
      <c r="G4" s="6"/>
    </row>
    <row r="5" spans="1:7" ht="23.4" x14ac:dyDescent="0.45">
      <c r="A5" s="6"/>
      <c r="B5" s="6"/>
      <c r="C5" s="6"/>
      <c r="D5" s="6"/>
      <c r="E5" s="6"/>
      <c r="F5" s="6"/>
      <c r="G5" s="6"/>
    </row>
    <row r="6" spans="1:7" ht="23.4" x14ac:dyDescent="0.45">
      <c r="A6" s="7" t="s">
        <v>22</v>
      </c>
      <c r="B6" s="7"/>
      <c r="C6" s="7"/>
      <c r="D6" s="7"/>
      <c r="E6" s="7"/>
      <c r="F6" s="7"/>
      <c r="G6" s="8" t="s">
        <v>29</v>
      </c>
    </row>
    <row r="7" spans="1:7" ht="23.4" x14ac:dyDescent="0.45">
      <c r="A7" s="6" t="s">
        <v>23</v>
      </c>
      <c r="B7" s="6">
        <v>0.22</v>
      </c>
      <c r="C7" s="6">
        <v>0.52</v>
      </c>
      <c r="D7" s="6">
        <v>0.74</v>
      </c>
      <c r="E7" s="6">
        <f>B7*B3+C7*C3+D7*D3</f>
        <v>9600000</v>
      </c>
      <c r="F7" s="6" t="s">
        <v>11</v>
      </c>
      <c r="G7" s="6">
        <v>9600000</v>
      </c>
    </row>
    <row r="8" spans="1:7" ht="23.4" x14ac:dyDescent="0.45">
      <c r="A8" s="6" t="s">
        <v>24</v>
      </c>
      <c r="B8" s="6">
        <v>0.5</v>
      </c>
      <c r="C8" s="6">
        <v>0.34</v>
      </c>
      <c r="D8" s="6">
        <v>0.2</v>
      </c>
      <c r="E8" s="6">
        <f>B8*B3+C8*C3+D8*D3</f>
        <v>4800000.0000000009</v>
      </c>
      <c r="F8" s="6" t="s">
        <v>11</v>
      </c>
      <c r="G8" s="6">
        <v>4800000</v>
      </c>
    </row>
    <row r="9" spans="1:7" ht="23.4" x14ac:dyDescent="0.45">
      <c r="A9" s="6" t="s">
        <v>25</v>
      </c>
      <c r="B9" s="6">
        <v>0.28000000000000003</v>
      </c>
      <c r="C9" s="6">
        <v>0.14000000000000001</v>
      </c>
      <c r="D9" s="6">
        <v>0.06</v>
      </c>
      <c r="E9" s="11">
        <f>B9*B3+C9*C3+D9*D3</f>
        <v>2078282.2085889576</v>
      </c>
      <c r="F9" s="6" t="s">
        <v>11</v>
      </c>
      <c r="G9" s="6">
        <v>2200000</v>
      </c>
    </row>
    <row r="10" spans="1:7" ht="23.4" x14ac:dyDescent="0.45">
      <c r="A10" s="6" t="s">
        <v>26</v>
      </c>
      <c r="B10" s="6">
        <v>16</v>
      </c>
      <c r="C10" s="6">
        <v>0</v>
      </c>
      <c r="D10" s="6">
        <v>1</v>
      </c>
      <c r="E10" s="11">
        <f>D10*D3+B10*B3</f>
        <v>86895460.12269941</v>
      </c>
      <c r="F10" s="6" t="s">
        <v>27</v>
      </c>
      <c r="G10" s="6">
        <v>0</v>
      </c>
    </row>
    <row r="11" spans="1:7" ht="23.4" x14ac:dyDescent="0.45">
      <c r="A11" s="6" t="s">
        <v>28</v>
      </c>
      <c r="B11" s="6">
        <v>0</v>
      </c>
      <c r="C11" s="6">
        <v>1</v>
      </c>
      <c r="D11" s="6">
        <v>0</v>
      </c>
      <c r="E11" s="6">
        <f>C11*C3</f>
        <v>600000</v>
      </c>
      <c r="F11" s="6" t="s">
        <v>11</v>
      </c>
      <c r="G11" s="6">
        <v>600000</v>
      </c>
    </row>
    <row r="12" spans="1:7" ht="23.4" x14ac:dyDescent="0.45">
      <c r="A12" s="6"/>
      <c r="B12" s="6"/>
      <c r="C12" s="6"/>
      <c r="D12" s="6"/>
      <c r="E12" s="6"/>
      <c r="F12" s="6"/>
      <c r="G12" s="6"/>
    </row>
    <row r="13" spans="1:7" ht="23.4" x14ac:dyDescent="0.45">
      <c r="A13" s="6"/>
      <c r="B13" s="6"/>
      <c r="C13" s="6"/>
      <c r="D13" s="6"/>
      <c r="E13" s="6"/>
      <c r="F13" s="6"/>
      <c r="G13" s="6"/>
    </row>
    <row r="14" spans="1:7" ht="23.4" x14ac:dyDescent="0.45">
      <c r="A14" s="6"/>
      <c r="B14" s="6"/>
      <c r="C14" s="6"/>
      <c r="D14" s="6"/>
      <c r="E14" s="6"/>
      <c r="F14" s="6"/>
      <c r="G14" s="6"/>
    </row>
    <row r="15" spans="1:7" ht="23.4" x14ac:dyDescent="0.45">
      <c r="A15" s="6"/>
      <c r="B15" s="6"/>
      <c r="C15" s="6"/>
      <c r="D15" s="6"/>
      <c r="E15" s="6"/>
      <c r="F15" s="6"/>
      <c r="G15" s="6"/>
    </row>
    <row r="16" spans="1:7" ht="23.4" x14ac:dyDescent="0.45">
      <c r="A16" s="6"/>
      <c r="B16" s="6"/>
      <c r="C16" s="6"/>
      <c r="D16" s="6"/>
      <c r="E16" s="6"/>
      <c r="F16" s="6"/>
      <c r="G16" s="6"/>
    </row>
    <row r="17" spans="1:7" ht="23.4" x14ac:dyDescent="0.45">
      <c r="A17" s="6"/>
      <c r="B17" s="6"/>
      <c r="C17" s="6"/>
      <c r="D17" s="6"/>
      <c r="E17" s="6"/>
      <c r="F17" s="6"/>
      <c r="G17" s="6"/>
    </row>
    <row r="18" spans="1:7" ht="23.4" x14ac:dyDescent="0.45">
      <c r="A18" s="6"/>
      <c r="B18" s="6"/>
      <c r="C18" s="6"/>
      <c r="D18" s="6"/>
      <c r="E18" s="6"/>
      <c r="F18" s="6"/>
      <c r="G18" s="6"/>
    </row>
    <row r="19" spans="1:7" ht="23.4" x14ac:dyDescent="0.45">
      <c r="A19" s="6"/>
      <c r="B19" s="6"/>
      <c r="C19" s="6"/>
      <c r="D19" s="6"/>
      <c r="E19" s="6"/>
      <c r="F19" s="6"/>
      <c r="G19" s="6"/>
    </row>
  </sheetData>
  <mergeCells count="2">
    <mergeCell ref="A1:G1"/>
    <mergeCell ref="A6:F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ALFAIATE</vt:lpstr>
      <vt:lpstr>REFINARIA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Sérgio dos Santos</dc:creator>
  <cp:lastModifiedBy>José Sérgio dos Santos</cp:lastModifiedBy>
  <dcterms:created xsi:type="dcterms:W3CDTF">2026-06-10T23:53:37Z</dcterms:created>
  <dcterms:modified xsi:type="dcterms:W3CDTF">2026-06-11T01:05:44Z</dcterms:modified>
</cp:coreProperties>
</file>