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9F113041-0C1C-45FB-BA15-ADE4D4F62047}" xr6:coauthVersionLast="36" xr6:coauthVersionMax="36" xr10:uidLastSave="{00000000-0000-0000-0000-000000000000}"/>
  <bookViews>
    <workbookView xWindow="0" yWindow="0" windowWidth="23040" windowHeight="8940" xr2:uid="{E67B607A-DA98-47EA-BCAE-E41F893D4047}"/>
  </bookViews>
  <sheets>
    <sheet name="REFINARIA (MANUAL)" sheetId="1" r:id="rId1"/>
    <sheet name="REFINARIA (SOMAR PRODUTO)" sheetId="2" r:id="rId2"/>
    <sheet name="ALFAIATE" sheetId="3" r:id="rId3"/>
  </sheets>
  <definedNames>
    <definedName name="solver_adj" localSheetId="2" hidden="1">ALFAIATE!$B$3:$C$3</definedName>
    <definedName name="solver_adj" localSheetId="0" hidden="1">'REFINARIA (MANUAL)'!$B$4:$D$4</definedName>
    <definedName name="solver_adj" localSheetId="1" hidden="1">'REFINARIA (SOMAR PRODUTO)'!$B$4:$D$4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0" hidden="1">1</definedName>
    <definedName name="solver_drv" localSheetId="1" hidden="1">2</definedName>
    <definedName name="solver_eng" localSheetId="2" hidden="1">2</definedName>
    <definedName name="solver_eng" localSheetId="0" hidden="1">2</definedName>
    <definedName name="solver_eng" localSheetId="1" hidden="1">2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lhs1" localSheetId="2" hidden="1">ALFAIATE!$D$7:$D$9</definedName>
    <definedName name="solver_lhs1" localSheetId="0" hidden="1">'REFINARIA (MANUAL)'!$E$11</definedName>
    <definedName name="solver_lhs1" localSheetId="1" hidden="1">'REFINARIA (SOMAR PRODUTO)'!$E$11</definedName>
    <definedName name="solver_lhs2" localSheetId="0" hidden="1">'REFINARIA (MANUAL)'!$E$12</definedName>
    <definedName name="solver_lhs2" localSheetId="1" hidden="1">'REFINARIA (SOMAR PRODUTO)'!$E$12</definedName>
    <definedName name="solver_lhs3" localSheetId="0" hidden="1">'REFINARIA (MANUAL)'!#REF!</definedName>
    <definedName name="solver_lhs3" localSheetId="1" hidden="1">'REFINARIA (SOMAR PRODUTO)'!#REF!</definedName>
    <definedName name="solver_lhs4" localSheetId="0" hidden="1">'REFINARIA (MANUAL)'!$E$8:$E$10</definedName>
    <definedName name="solver_lhs4" localSheetId="1" hidden="1">'REFINARIA (SOMAR PRODUTO)'!$E$8:$E$10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um" localSheetId="2" hidden="1">1</definedName>
    <definedName name="solver_num" localSheetId="0" hidden="1">4</definedName>
    <definedName name="solver_num" localSheetId="1" hidden="1">4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opt" localSheetId="2" hidden="1">ALFAIATE!$D$4</definedName>
    <definedName name="solver_opt" localSheetId="0" hidden="1">'REFINARIA (MANUAL)'!$E$5</definedName>
    <definedName name="solver_opt" localSheetId="1" hidden="1">'REFINARIA (SOMAR PRODUTO)'!$E$5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0" hidden="1">1</definedName>
    <definedName name="solver_rbv" localSheetId="1" hidden="1">2</definedName>
    <definedName name="solver_rel1" localSheetId="2" hidden="1">1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el4" localSheetId="1" hidden="1">1</definedName>
    <definedName name="solver_rhs1" localSheetId="2" hidden="1">ALFAIATE!$F$7:$F$9</definedName>
    <definedName name="solver_rhs1" localSheetId="0" hidden="1">'REFINARIA (MANUAL)'!$G$11</definedName>
    <definedName name="solver_rhs1" localSheetId="1" hidden="1">'REFINARIA (SOMAR PRODUTO)'!$G$11</definedName>
    <definedName name="solver_rhs2" localSheetId="0" hidden="1">'REFINARIA (MANUAL)'!$G$12</definedName>
    <definedName name="solver_rhs2" localSheetId="1" hidden="1">'REFINARIA (SOMAR PRODUTO)'!$G$12</definedName>
    <definedName name="solver_rhs3" localSheetId="0" hidden="1">'REFINARIA (MANUAL)'!#REF!</definedName>
    <definedName name="solver_rhs3" localSheetId="1" hidden="1">'REFINARIA (SOMAR PRODUTO)'!#REF!</definedName>
    <definedName name="solver_rhs4" localSheetId="0" hidden="1">'REFINARIA (MANUAL)'!$G$8:$G$10</definedName>
    <definedName name="solver_rhs4" localSheetId="1" hidden="1">'REFINARIA (SOMAR PRODUTO)'!$G$8:$G$10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0" hidden="1">1</definedName>
    <definedName name="solver_scl" localSheetId="1" hidden="1">2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0" hidden="1">3</definedName>
    <definedName name="solver_ver" localSheetId="1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9" i="3"/>
  <c r="D7" i="3"/>
  <c r="D4" i="3"/>
  <c r="E9" i="2"/>
  <c r="E10" i="2"/>
  <c r="E11" i="2"/>
  <c r="E12" i="2"/>
  <c r="E8" i="2"/>
  <c r="E5" i="2"/>
  <c r="E12" i="1"/>
  <c r="E11" i="1"/>
  <c r="E10" i="1"/>
  <c r="E9" i="1"/>
  <c r="E8" i="1"/>
  <c r="E5" i="1"/>
</calcChain>
</file>

<file path=xl/sharedStrings.xml><?xml version="1.0" encoding="utf-8"?>
<sst xmlns="http://schemas.openxmlformats.org/spreadsheetml/2006/main" count="62" uniqueCount="28">
  <si>
    <t>Refinaria</t>
  </si>
  <si>
    <t>x1= verde</t>
  </si>
  <si>
    <t>x2=Azul</t>
  </si>
  <si>
    <t>x3=comum</t>
  </si>
  <si>
    <t>VERDE</t>
  </si>
  <si>
    <t>AZUL</t>
  </si>
  <si>
    <t>COMUM</t>
  </si>
  <si>
    <t>VARIÁVEIS</t>
  </si>
  <si>
    <t>LUCRO</t>
  </si>
  <si>
    <t>FUNÇÃO OBJETIVO</t>
  </si>
  <si>
    <t>RESTRIÇÕES</t>
  </si>
  <si>
    <t>GAS. PURA</t>
  </si>
  <si>
    <t>OCTANA</t>
  </si>
  <si>
    <t>ADTIVO</t>
  </si>
  <si>
    <t>≤</t>
  </si>
  <si>
    <t>PROPORÇÃO DE MERCADO</t>
  </si>
  <si>
    <t>≥</t>
  </si>
  <si>
    <t>LIMITE AZUL</t>
  </si>
  <si>
    <t>TIPO DE PRODUTO</t>
  </si>
  <si>
    <t>DISPONÍVEL</t>
  </si>
  <si>
    <t>ALFAIATE</t>
  </si>
  <si>
    <t>PEÇAS</t>
  </si>
  <si>
    <t>TERNO</t>
  </si>
  <si>
    <t>VESTIDO</t>
  </si>
  <si>
    <t>ALGODÃO</t>
  </si>
  <si>
    <t>SEDA</t>
  </si>
  <si>
    <t>LÃ</t>
  </si>
  <si>
    <t>DEVE FABRICAR 7 TERNOS E 2 VESTIDOS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</si>
</sst>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/>
    <xf numFmtId="0" fontId="5" fillId="5" borderId="0" xfId="0" applyFont="1" applyFill="1"/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4" fontId="2" fillId="2" borderId="0" xfId="1" applyFont="1" applyFill="1"/>
    <xf numFmtId="2" fontId="2" fillId="4" borderId="0" xfId="0" applyNumberFormat="1" applyFont="1" applyFill="1"/>
    <xf numFmtId="44" fontId="4" fillId="4" borderId="0" xfId="1" applyFont="1" applyFill="1" applyAlignment="1">
      <alignment horizontal="center"/>
    </xf>
    <xf numFmtId="0" fontId="2" fillId="4" borderId="0" xfId="0" applyNumberFormat="1" applyFont="1" applyFill="1"/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/>
    <xf numFmtId="0" fontId="2" fillId="8" borderId="0" xfId="0" applyFont="1" applyFill="1" applyAlignment="1">
      <alignment horizontal="center" vertical="center"/>
    </xf>
    <xf numFmtId="0" fontId="3" fillId="8" borderId="0" xfId="0" applyFont="1" applyFill="1"/>
    <xf numFmtId="0" fontId="4" fillId="8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594360</xdr:colOff>
      <xdr:row>0</xdr:row>
      <xdr:rowOff>0</xdr:rowOff>
    </xdr:from>
    <xdr:to>
      <xdr:col>16</xdr:col>
      <xdr:colOff>23293</xdr:colOff>
      <xdr:row>20</xdr:row>
      <xdr:rowOff>206233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B3E1DF-A47D-4FF0-9D86-E2D985878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6940" y="0"/>
          <a:ext cx="4991533" cy="5692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16</xdr:col>
      <xdr:colOff>114733</xdr:colOff>
      <xdr:row>20</xdr:row>
      <xdr:rowOff>23353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DFC9BF-CD20-4875-8A64-800119CAF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2680" y="0"/>
          <a:ext cx="4991533" cy="5692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16</xdr:col>
      <xdr:colOff>236716</xdr:colOff>
      <xdr:row>10</xdr:row>
      <xdr:rowOff>236478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4DB3DA-37C0-493E-9B12-370E98FA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5480" y="0"/>
          <a:ext cx="5723116" cy="2979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95CA-0F5A-4FA6-9C3A-6121860F229E}">
  <dimension ref="A1:G26"/>
  <sheetViews>
    <sheetView showGridLines="0" tabSelected="1" workbookViewId="0">
      <selection activeCell="A13" sqref="A13:XFD13"/>
    </sheetView>
  </sheetViews>
  <sheetFormatPr defaultRowHeight="14.4" x14ac:dyDescent="0.3"/>
  <cols>
    <col min="1" max="1" width="38.88671875" bestFit="1" customWidth="1"/>
    <col min="2" max="2" width="19.88671875" bestFit="1" customWidth="1"/>
    <col min="3" max="3" width="15.44140625" bestFit="1" customWidth="1"/>
    <col min="4" max="4" width="19.88671875" bestFit="1" customWidth="1"/>
    <col min="5" max="5" width="27.109375" bestFit="1" customWidth="1"/>
    <col min="6" max="6" width="2.88671875" bestFit="1" customWidth="1"/>
    <col min="7" max="7" width="25.33203125" bestFit="1" customWidth="1"/>
    <col min="13" max="13" width="10" bestFit="1" customWidth="1"/>
  </cols>
  <sheetData>
    <row r="1" spans="1:7" x14ac:dyDescent="0.3">
      <c r="A1" s="11" t="s">
        <v>0</v>
      </c>
      <c r="B1" s="11"/>
      <c r="C1" s="11"/>
      <c r="D1" s="11"/>
      <c r="E1" s="11"/>
      <c r="F1" s="11"/>
      <c r="G1" s="11"/>
    </row>
    <row r="2" spans="1:7" x14ac:dyDescent="0.3">
      <c r="A2" s="11"/>
      <c r="B2" s="11"/>
      <c r="C2" s="11"/>
      <c r="D2" s="11"/>
      <c r="E2" s="11"/>
      <c r="F2" s="11"/>
      <c r="G2" s="11"/>
    </row>
    <row r="3" spans="1:7" ht="23.4" x14ac:dyDescent="0.45">
      <c r="A3" s="10" t="s">
        <v>18</v>
      </c>
      <c r="B3" s="10" t="s">
        <v>4</v>
      </c>
      <c r="C3" s="10" t="s">
        <v>5</v>
      </c>
      <c r="D3" s="10" t="s">
        <v>6</v>
      </c>
      <c r="E3" s="12" t="s">
        <v>9</v>
      </c>
      <c r="F3" s="12"/>
      <c r="G3" s="12"/>
    </row>
    <row r="4" spans="1:7" ht="23.4" x14ac:dyDescent="0.45">
      <c r="A4" s="6" t="s">
        <v>7</v>
      </c>
      <c r="B4" s="15">
        <v>770149.2537313432</v>
      </c>
      <c r="C4" s="15">
        <v>600000</v>
      </c>
      <c r="D4" s="15">
        <v>12322388.059701491</v>
      </c>
      <c r="E4" s="12"/>
      <c r="F4" s="12"/>
      <c r="G4" s="12"/>
    </row>
    <row r="5" spans="1:7" ht="23.4" x14ac:dyDescent="0.45">
      <c r="A5" s="6" t="s">
        <v>8</v>
      </c>
      <c r="B5" s="14">
        <v>0.3</v>
      </c>
      <c r="C5" s="14">
        <v>0.25</v>
      </c>
      <c r="D5" s="14">
        <v>0.2</v>
      </c>
      <c r="E5" s="16">
        <f>B5*B4+C5*C4+D5*D4</f>
        <v>2845522.3880597013</v>
      </c>
      <c r="F5" s="16"/>
      <c r="G5" s="16"/>
    </row>
    <row r="6" spans="1:7" x14ac:dyDescent="0.3">
      <c r="A6" s="11" t="s">
        <v>10</v>
      </c>
      <c r="B6" s="11"/>
      <c r="C6" s="11"/>
      <c r="D6" s="11"/>
      <c r="E6" s="11"/>
      <c r="F6" s="11"/>
      <c r="G6" s="13" t="s">
        <v>19</v>
      </c>
    </row>
    <row r="7" spans="1:7" x14ac:dyDescent="0.3">
      <c r="A7" s="11"/>
      <c r="B7" s="11"/>
      <c r="C7" s="11"/>
      <c r="D7" s="11"/>
      <c r="E7" s="11"/>
      <c r="F7" s="11"/>
      <c r="G7" s="13"/>
    </row>
    <row r="8" spans="1:7" ht="23.4" x14ac:dyDescent="0.45">
      <c r="A8" s="6" t="s">
        <v>11</v>
      </c>
      <c r="B8" s="2">
        <v>0.22</v>
      </c>
      <c r="C8" s="2">
        <v>0.52</v>
      </c>
      <c r="D8" s="2">
        <v>0.74</v>
      </c>
      <c r="E8" s="14">
        <f>B8*B4+C8*C4+D8*D4</f>
        <v>9599999.9999999981</v>
      </c>
      <c r="F8" s="7" t="s">
        <v>14</v>
      </c>
      <c r="G8" s="8">
        <v>9600000</v>
      </c>
    </row>
    <row r="9" spans="1:7" ht="23.4" x14ac:dyDescent="0.45">
      <c r="A9" s="6" t="s">
        <v>12</v>
      </c>
      <c r="B9" s="2">
        <v>0.5</v>
      </c>
      <c r="C9" s="2">
        <v>0.34</v>
      </c>
      <c r="D9" s="2">
        <v>0.2</v>
      </c>
      <c r="E9" s="14">
        <f>B9*B4+C9*C4+D9*D4</f>
        <v>3053552.2388059697</v>
      </c>
      <c r="F9" s="7" t="s">
        <v>14</v>
      </c>
      <c r="G9" s="8">
        <v>4800000</v>
      </c>
    </row>
    <row r="10" spans="1:7" ht="23.4" x14ac:dyDescent="0.45">
      <c r="A10" s="6" t="s">
        <v>13</v>
      </c>
      <c r="B10" s="2">
        <v>0.28000000000000003</v>
      </c>
      <c r="C10" s="2">
        <v>0.14000000000000001</v>
      </c>
      <c r="D10" s="2">
        <v>0.06</v>
      </c>
      <c r="E10" s="14">
        <f>B10*B4+C10*C4+D10*D4</f>
        <v>1038985.0746268656</v>
      </c>
      <c r="F10" s="7" t="s">
        <v>14</v>
      </c>
      <c r="G10" s="8">
        <v>2200000</v>
      </c>
    </row>
    <row r="11" spans="1:7" ht="23.4" x14ac:dyDescent="0.45">
      <c r="A11" s="6" t="s">
        <v>15</v>
      </c>
      <c r="B11" s="2">
        <v>-16</v>
      </c>
      <c r="C11" s="2"/>
      <c r="D11" s="2">
        <v>1</v>
      </c>
      <c r="E11" s="14">
        <f>B11*B4+D11*D4</f>
        <v>0</v>
      </c>
      <c r="F11" s="7" t="s">
        <v>16</v>
      </c>
      <c r="G11" s="9">
        <v>0</v>
      </c>
    </row>
    <row r="12" spans="1:7" ht="23.4" x14ac:dyDescent="0.45">
      <c r="A12" s="6" t="s">
        <v>17</v>
      </c>
      <c r="B12" s="2"/>
      <c r="C12" s="2">
        <v>1</v>
      </c>
      <c r="D12" s="2"/>
      <c r="E12" s="14">
        <f>C12*C4</f>
        <v>600000</v>
      </c>
      <c r="F12" s="7" t="s">
        <v>14</v>
      </c>
      <c r="G12" s="8">
        <v>600000</v>
      </c>
    </row>
    <row r="13" spans="1:7" ht="23.4" x14ac:dyDescent="0.45">
      <c r="A13" s="2"/>
      <c r="B13" s="2"/>
      <c r="C13" s="2"/>
      <c r="D13" s="2"/>
      <c r="E13" s="2"/>
      <c r="F13" s="2"/>
      <c r="G13" s="2"/>
    </row>
    <row r="14" spans="1:7" ht="23.4" x14ac:dyDescent="0.45">
      <c r="A14" s="2"/>
      <c r="B14" s="2"/>
      <c r="C14" s="2"/>
      <c r="D14" s="2"/>
      <c r="E14" s="2"/>
      <c r="F14" s="2"/>
      <c r="G14" s="2"/>
    </row>
    <row r="15" spans="1:7" ht="23.4" x14ac:dyDescent="0.45">
      <c r="A15" s="2"/>
      <c r="B15" s="2"/>
      <c r="C15" s="2"/>
      <c r="D15" s="2"/>
      <c r="E15" s="2"/>
      <c r="F15" s="2"/>
      <c r="G15" s="2"/>
    </row>
    <row r="16" spans="1:7" ht="23.4" x14ac:dyDescent="0.45">
      <c r="A16" s="3" t="s">
        <v>1</v>
      </c>
      <c r="B16" s="2"/>
      <c r="C16" s="2"/>
      <c r="D16" s="2"/>
      <c r="E16" s="2"/>
      <c r="F16" s="2"/>
      <c r="G16" s="2"/>
    </row>
    <row r="17" spans="1:7" ht="23.4" x14ac:dyDescent="0.45">
      <c r="A17" s="3" t="s">
        <v>2</v>
      </c>
      <c r="B17" s="2"/>
      <c r="C17" s="2"/>
      <c r="D17" s="2"/>
      <c r="E17" s="2"/>
      <c r="F17" s="2"/>
      <c r="G17" s="2"/>
    </row>
    <row r="18" spans="1:7" ht="23.4" x14ac:dyDescent="0.45">
      <c r="A18" s="3" t="s">
        <v>3</v>
      </c>
      <c r="B18" s="2"/>
      <c r="C18" s="2"/>
      <c r="D18" s="2"/>
      <c r="E18" s="2"/>
      <c r="F18" s="2"/>
      <c r="G18" s="2"/>
    </row>
    <row r="19" spans="1:7" ht="23.4" x14ac:dyDescent="0.45">
      <c r="A19" s="1"/>
      <c r="B19" s="1"/>
      <c r="C19" s="1"/>
      <c r="D19" s="1"/>
      <c r="E19" s="1"/>
      <c r="F19" s="1"/>
      <c r="G19" s="1"/>
    </row>
    <row r="20" spans="1:7" ht="23.4" x14ac:dyDescent="0.45">
      <c r="A20" s="1"/>
      <c r="B20" s="1"/>
      <c r="C20" s="1"/>
      <c r="D20" s="1"/>
      <c r="E20" s="1"/>
      <c r="F20" s="1"/>
      <c r="G20" s="1"/>
    </row>
    <row r="21" spans="1:7" ht="23.4" x14ac:dyDescent="0.45">
      <c r="A21" s="1"/>
      <c r="B21" s="1"/>
      <c r="C21" s="1"/>
      <c r="D21" s="1"/>
      <c r="E21" s="1"/>
      <c r="F21" s="1"/>
      <c r="G21" s="1"/>
    </row>
    <row r="22" spans="1:7" ht="23.4" x14ac:dyDescent="0.45">
      <c r="A22" s="1"/>
      <c r="B22" s="1"/>
      <c r="C22" s="1"/>
      <c r="D22" s="1"/>
      <c r="E22" s="1"/>
      <c r="F22" s="1"/>
      <c r="G22" s="1"/>
    </row>
    <row r="23" spans="1:7" ht="23.4" x14ac:dyDescent="0.45">
      <c r="A23" s="1"/>
      <c r="B23" s="1"/>
      <c r="C23" s="1"/>
      <c r="D23" s="1"/>
      <c r="E23" s="1"/>
      <c r="F23" s="1"/>
      <c r="G23" s="1"/>
    </row>
    <row r="24" spans="1:7" ht="23.4" x14ac:dyDescent="0.45">
      <c r="A24" s="1"/>
      <c r="B24" s="1"/>
      <c r="C24" s="1"/>
      <c r="D24" s="1"/>
      <c r="E24" s="1"/>
      <c r="F24" s="1"/>
      <c r="G24" s="1"/>
    </row>
    <row r="25" spans="1:7" ht="23.4" x14ac:dyDescent="0.45">
      <c r="A25" s="1"/>
      <c r="B25" s="1"/>
      <c r="C25" s="1"/>
      <c r="D25" s="1"/>
      <c r="E25" s="1"/>
      <c r="F25" s="1"/>
      <c r="G25" s="1"/>
    </row>
    <row r="26" spans="1:7" ht="23.4" x14ac:dyDescent="0.45">
      <c r="A26" s="1"/>
      <c r="B26" s="1"/>
      <c r="C26" s="1"/>
      <c r="D26" s="1"/>
      <c r="E26" s="1"/>
      <c r="F26" s="1"/>
      <c r="G26" s="1"/>
    </row>
  </sheetData>
  <mergeCells count="5">
    <mergeCell ref="E5:G5"/>
    <mergeCell ref="A6:F7"/>
    <mergeCell ref="G6:G7"/>
    <mergeCell ref="A1:G2"/>
    <mergeCell ref="E3:G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20F-5E14-4126-A712-79C0F1D832D8}">
  <dimension ref="A1:G18"/>
  <sheetViews>
    <sheetView showGridLines="0" zoomScale="96" zoomScaleNormal="96" workbookViewId="0">
      <selection sqref="A1:G18"/>
    </sheetView>
  </sheetViews>
  <sheetFormatPr defaultRowHeight="14.4" x14ac:dyDescent="0.3"/>
  <cols>
    <col min="1" max="1" width="38.88671875" bestFit="1" customWidth="1"/>
    <col min="2" max="3" width="15.44140625" bestFit="1" customWidth="1"/>
    <col min="4" max="4" width="18.88671875" bestFit="1" customWidth="1"/>
    <col min="5" max="5" width="27.109375" bestFit="1" customWidth="1"/>
    <col min="6" max="6" width="2.88671875" bestFit="1" customWidth="1"/>
    <col min="7" max="7" width="18.44140625" customWidth="1"/>
  </cols>
  <sheetData>
    <row r="1" spans="1:7" x14ac:dyDescent="0.3">
      <c r="A1" s="11" t="s">
        <v>0</v>
      </c>
      <c r="B1" s="11"/>
      <c r="C1" s="11"/>
      <c r="D1" s="11"/>
      <c r="E1" s="11"/>
      <c r="F1" s="11"/>
      <c r="G1" s="11"/>
    </row>
    <row r="2" spans="1:7" x14ac:dyDescent="0.3">
      <c r="A2" s="11"/>
      <c r="B2" s="11"/>
      <c r="C2" s="11"/>
      <c r="D2" s="11"/>
      <c r="E2" s="11"/>
      <c r="F2" s="11"/>
      <c r="G2" s="11"/>
    </row>
    <row r="3" spans="1:7" ht="23.4" x14ac:dyDescent="0.45">
      <c r="A3" s="10" t="s">
        <v>18</v>
      </c>
      <c r="B3" s="10" t="s">
        <v>4</v>
      </c>
      <c r="C3" s="10" t="s">
        <v>5</v>
      </c>
      <c r="D3" s="10" t="s">
        <v>6</v>
      </c>
      <c r="E3" s="12" t="s">
        <v>9</v>
      </c>
      <c r="F3" s="12"/>
      <c r="G3" s="12"/>
    </row>
    <row r="4" spans="1:7" ht="23.4" x14ac:dyDescent="0.45">
      <c r="A4" s="6" t="s">
        <v>7</v>
      </c>
      <c r="B4" s="17">
        <v>770149.2537313432</v>
      </c>
      <c r="C4" s="17">
        <v>600000</v>
      </c>
      <c r="D4" s="17">
        <v>12322388.059701491</v>
      </c>
      <c r="E4" s="12"/>
      <c r="F4" s="12"/>
      <c r="G4" s="12"/>
    </row>
    <row r="5" spans="1:7" ht="23.4" x14ac:dyDescent="0.45">
      <c r="A5" s="6" t="s">
        <v>8</v>
      </c>
      <c r="B5" s="14">
        <v>0.3</v>
      </c>
      <c r="C5" s="14">
        <v>0.25</v>
      </c>
      <c r="D5" s="14">
        <v>0.2</v>
      </c>
      <c r="E5" s="16">
        <f>SUMPRODUCT(B5:D5,B4:D4)</f>
        <v>2845522.3880597013</v>
      </c>
      <c r="F5" s="16"/>
      <c r="G5" s="16"/>
    </row>
    <row r="6" spans="1:7" x14ac:dyDescent="0.3">
      <c r="A6" s="11" t="s">
        <v>10</v>
      </c>
      <c r="B6" s="11"/>
      <c r="C6" s="11"/>
      <c r="D6" s="11"/>
      <c r="E6" s="11"/>
      <c r="F6" s="11"/>
      <c r="G6" s="13" t="s">
        <v>19</v>
      </c>
    </row>
    <row r="7" spans="1:7" ht="46.8" customHeight="1" x14ac:dyDescent="0.3">
      <c r="A7" s="11"/>
      <c r="B7" s="11"/>
      <c r="C7" s="11"/>
      <c r="D7" s="11"/>
      <c r="E7" s="11"/>
      <c r="F7" s="11"/>
      <c r="G7" s="13"/>
    </row>
    <row r="8" spans="1:7" ht="23.4" x14ac:dyDescent="0.45">
      <c r="A8" s="6" t="s">
        <v>11</v>
      </c>
      <c r="B8" s="2">
        <v>0.22</v>
      </c>
      <c r="C8" s="2">
        <v>0.52</v>
      </c>
      <c r="D8" s="2">
        <v>0.74</v>
      </c>
      <c r="E8" s="14">
        <f>SUMPRODUCT($B$4:$D$4,B8:D8)</f>
        <v>9599999.9999999981</v>
      </c>
      <c r="F8" s="7" t="s">
        <v>14</v>
      </c>
      <c r="G8" s="8">
        <v>9600000</v>
      </c>
    </row>
    <row r="9" spans="1:7" ht="23.4" x14ac:dyDescent="0.45">
      <c r="A9" s="6" t="s">
        <v>12</v>
      </c>
      <c r="B9" s="2">
        <v>0.5</v>
      </c>
      <c r="C9" s="2">
        <v>0.34</v>
      </c>
      <c r="D9" s="2">
        <v>0.2</v>
      </c>
      <c r="E9" s="14">
        <f t="shared" ref="E9:E12" si="0">SUMPRODUCT($B$4:$D$4,B9:D9)</f>
        <v>3053552.2388059697</v>
      </c>
      <c r="F9" s="7" t="s">
        <v>14</v>
      </c>
      <c r="G9" s="8">
        <v>4800000</v>
      </c>
    </row>
    <row r="10" spans="1:7" ht="23.4" x14ac:dyDescent="0.45">
      <c r="A10" s="6" t="s">
        <v>13</v>
      </c>
      <c r="B10" s="2">
        <v>0.28000000000000003</v>
      </c>
      <c r="C10" s="2">
        <v>0.14000000000000001</v>
      </c>
      <c r="D10" s="2">
        <v>0.06</v>
      </c>
      <c r="E10" s="14">
        <f t="shared" si="0"/>
        <v>1038985.0746268656</v>
      </c>
      <c r="F10" s="7" t="s">
        <v>14</v>
      </c>
      <c r="G10" s="8">
        <v>2200000</v>
      </c>
    </row>
    <row r="11" spans="1:7" ht="23.4" x14ac:dyDescent="0.45">
      <c r="A11" s="6" t="s">
        <v>15</v>
      </c>
      <c r="B11" s="2">
        <v>-16</v>
      </c>
      <c r="C11" s="2"/>
      <c r="D11" s="2">
        <v>1</v>
      </c>
      <c r="E11" s="14">
        <f t="shared" si="0"/>
        <v>0</v>
      </c>
      <c r="F11" s="7" t="s">
        <v>16</v>
      </c>
      <c r="G11" s="9">
        <v>0</v>
      </c>
    </row>
    <row r="12" spans="1:7" ht="23.4" x14ac:dyDescent="0.45">
      <c r="A12" s="6" t="s">
        <v>17</v>
      </c>
      <c r="B12" s="2"/>
      <c r="C12" s="2">
        <v>1</v>
      </c>
      <c r="D12" s="2"/>
      <c r="E12" s="14">
        <f t="shared" si="0"/>
        <v>600000</v>
      </c>
      <c r="F12" s="7" t="s">
        <v>14</v>
      </c>
      <c r="G12" s="8">
        <v>600000</v>
      </c>
    </row>
    <row r="13" spans="1:7" ht="23.4" x14ac:dyDescent="0.45">
      <c r="A13" s="2"/>
      <c r="B13" s="2"/>
      <c r="C13" s="2"/>
      <c r="D13" s="2"/>
      <c r="E13" s="2"/>
      <c r="F13" s="2"/>
      <c r="G13" s="2"/>
    </row>
    <row r="14" spans="1:7" ht="23.4" x14ac:dyDescent="0.45">
      <c r="A14" s="2"/>
      <c r="B14" s="2"/>
      <c r="C14" s="2"/>
      <c r="D14" s="2"/>
      <c r="E14" s="2"/>
      <c r="F14" s="2"/>
      <c r="G14" s="2"/>
    </row>
    <row r="15" spans="1:7" ht="23.4" x14ac:dyDescent="0.45">
      <c r="A15" s="2"/>
      <c r="B15" s="2"/>
      <c r="C15" s="2"/>
      <c r="D15" s="2"/>
      <c r="E15" s="2"/>
      <c r="F15" s="2"/>
      <c r="G15" s="2"/>
    </row>
    <row r="16" spans="1:7" ht="23.4" x14ac:dyDescent="0.45">
      <c r="A16" s="3" t="s">
        <v>1</v>
      </c>
      <c r="B16" s="2"/>
      <c r="C16" s="2"/>
      <c r="D16" s="2"/>
      <c r="E16" s="2"/>
      <c r="F16" s="2"/>
      <c r="G16" s="2"/>
    </row>
    <row r="17" spans="1:7" ht="23.4" x14ac:dyDescent="0.45">
      <c r="A17" s="3" t="s">
        <v>2</v>
      </c>
      <c r="B17" s="2"/>
      <c r="C17" s="2"/>
      <c r="D17" s="2"/>
      <c r="E17" s="2"/>
      <c r="F17" s="2"/>
      <c r="G17" s="2"/>
    </row>
    <row r="18" spans="1:7" ht="23.4" x14ac:dyDescent="0.45">
      <c r="A18" s="3" t="s">
        <v>3</v>
      </c>
      <c r="B18" s="2"/>
      <c r="C18" s="2"/>
      <c r="D18" s="2"/>
      <c r="E18" s="2"/>
      <c r="F18" s="2"/>
      <c r="G18" s="2"/>
    </row>
  </sheetData>
  <mergeCells count="5">
    <mergeCell ref="A1:G2"/>
    <mergeCell ref="E3:G4"/>
    <mergeCell ref="E5:G5"/>
    <mergeCell ref="A6:F7"/>
    <mergeCell ref="G6:G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2BCF-08BE-44CA-A246-DD93555C1126}">
  <dimension ref="A1:F15"/>
  <sheetViews>
    <sheetView showGridLines="0" workbookViewId="0">
      <selection activeCell="E14" sqref="E14"/>
    </sheetView>
  </sheetViews>
  <sheetFormatPr defaultRowHeight="14.4" x14ac:dyDescent="0.3"/>
  <cols>
    <col min="1" max="1" width="15.6640625" bestFit="1" customWidth="1"/>
    <col min="2" max="2" width="10.6640625" bestFit="1" customWidth="1"/>
    <col min="3" max="3" width="13.109375" bestFit="1" customWidth="1"/>
    <col min="4" max="4" width="11.88671875" customWidth="1"/>
    <col min="5" max="5" width="2.88671875" bestFit="1" customWidth="1"/>
    <col min="6" max="6" width="23.44140625" customWidth="1"/>
  </cols>
  <sheetData>
    <row r="1" spans="1:6" ht="23.4" x14ac:dyDescent="0.45">
      <c r="A1" s="19" t="s">
        <v>20</v>
      </c>
      <c r="B1" s="19"/>
      <c r="C1" s="19"/>
      <c r="D1" s="19"/>
      <c r="E1" s="19"/>
      <c r="F1" s="19"/>
    </row>
    <row r="2" spans="1:6" ht="23.4" x14ac:dyDescent="0.45">
      <c r="A2" s="21" t="s">
        <v>21</v>
      </c>
      <c r="B2" s="21" t="s">
        <v>22</v>
      </c>
      <c r="C2" s="21" t="s">
        <v>23</v>
      </c>
      <c r="D2" s="22" t="s">
        <v>9</v>
      </c>
      <c r="E2" s="22"/>
      <c r="F2" s="22"/>
    </row>
    <row r="3" spans="1:6" ht="23.4" x14ac:dyDescent="0.45">
      <c r="A3" s="21" t="s">
        <v>7</v>
      </c>
      <c r="B3" s="4">
        <v>7</v>
      </c>
      <c r="C3" s="4">
        <v>1.9999999999999996</v>
      </c>
      <c r="D3" s="22"/>
      <c r="E3" s="22"/>
      <c r="F3" s="22"/>
    </row>
    <row r="4" spans="1:6" ht="23.4" x14ac:dyDescent="0.45">
      <c r="A4" s="21" t="s">
        <v>8</v>
      </c>
      <c r="B4" s="18">
        <v>300</v>
      </c>
      <c r="C4" s="18">
        <v>500</v>
      </c>
      <c r="D4" s="5">
        <f>SUMPRODUCT($B$3:$C$3,B4:C4)</f>
        <v>3100</v>
      </c>
      <c r="E4" s="5"/>
      <c r="F4" s="5"/>
    </row>
    <row r="5" spans="1:6" x14ac:dyDescent="0.3">
      <c r="A5" s="20" t="s">
        <v>10</v>
      </c>
      <c r="B5" s="20"/>
      <c r="C5" s="20"/>
      <c r="D5" s="20"/>
      <c r="E5" s="20"/>
      <c r="F5" s="20" t="s">
        <v>19</v>
      </c>
    </row>
    <row r="6" spans="1:6" x14ac:dyDescent="0.3">
      <c r="A6" s="20"/>
      <c r="B6" s="20"/>
      <c r="C6" s="20"/>
      <c r="D6" s="20"/>
      <c r="E6" s="20"/>
      <c r="F6" s="20"/>
    </row>
    <row r="7" spans="1:6" ht="23.4" x14ac:dyDescent="0.45">
      <c r="A7" s="21" t="s">
        <v>24</v>
      </c>
      <c r="B7" s="18">
        <v>2</v>
      </c>
      <c r="C7" s="18">
        <v>1</v>
      </c>
      <c r="D7" s="18">
        <f>SUMPRODUCT($B$3:$C$3,B7:C7)</f>
        <v>16</v>
      </c>
      <c r="E7" s="23" t="s">
        <v>14</v>
      </c>
      <c r="F7" s="18">
        <v>16</v>
      </c>
    </row>
    <row r="8" spans="1:6" ht="23.4" x14ac:dyDescent="0.45">
      <c r="A8" s="21" t="s">
        <v>25</v>
      </c>
      <c r="B8" s="18">
        <v>1</v>
      </c>
      <c r="C8" s="18">
        <v>2</v>
      </c>
      <c r="D8" s="18">
        <f t="shared" ref="D8:D9" si="0">SUMPRODUCT($B$3:$C$3,B8:C8)</f>
        <v>11</v>
      </c>
      <c r="E8" s="23" t="s">
        <v>14</v>
      </c>
      <c r="F8" s="18">
        <v>11</v>
      </c>
    </row>
    <row r="9" spans="1:6" ht="23.4" x14ac:dyDescent="0.45">
      <c r="A9" s="21" t="s">
        <v>26</v>
      </c>
      <c r="B9" s="18">
        <v>1</v>
      </c>
      <c r="C9" s="18">
        <v>3</v>
      </c>
      <c r="D9" s="18">
        <f t="shared" si="0"/>
        <v>12.999999999999998</v>
      </c>
      <c r="E9" s="23" t="s">
        <v>14</v>
      </c>
      <c r="F9" s="18">
        <v>15</v>
      </c>
    </row>
    <row r="10" spans="1:6" ht="23.4" x14ac:dyDescent="0.45">
      <c r="A10" s="21"/>
      <c r="B10" s="21"/>
      <c r="C10" s="21"/>
      <c r="D10" s="21"/>
      <c r="E10" s="21"/>
      <c r="F10" s="21"/>
    </row>
    <row r="11" spans="1:6" ht="23.4" x14ac:dyDescent="0.45">
      <c r="A11" s="24" t="s">
        <v>27</v>
      </c>
      <c r="B11" s="24"/>
      <c r="C11" s="24"/>
      <c r="D11" s="24"/>
      <c r="E11" s="24"/>
      <c r="F11" s="24"/>
    </row>
    <row r="12" spans="1:6" ht="23.4" x14ac:dyDescent="0.45">
      <c r="A12" s="21"/>
      <c r="B12" s="21"/>
      <c r="C12" s="21"/>
      <c r="D12" s="21"/>
      <c r="E12" s="21"/>
      <c r="F12" s="21"/>
    </row>
    <row r="13" spans="1:6" ht="23.4" x14ac:dyDescent="0.45">
      <c r="A13" s="21"/>
      <c r="B13" s="21"/>
      <c r="C13" s="21"/>
      <c r="D13" s="21"/>
      <c r="E13" s="21"/>
      <c r="F13" s="21"/>
    </row>
    <row r="14" spans="1:6" ht="23.4" x14ac:dyDescent="0.45">
      <c r="A14" s="21"/>
      <c r="B14" s="21"/>
      <c r="C14" s="21"/>
      <c r="D14" s="21"/>
      <c r="E14" s="21"/>
      <c r="F14" s="21"/>
    </row>
    <row r="15" spans="1:6" ht="23.4" x14ac:dyDescent="0.45">
      <c r="A15" s="21"/>
      <c r="B15" s="21"/>
      <c r="C15" s="21"/>
      <c r="D15" s="21"/>
      <c r="E15" s="21"/>
      <c r="F15" s="21"/>
    </row>
  </sheetData>
  <mergeCells count="5">
    <mergeCell ref="A5:E6"/>
    <mergeCell ref="F5:F6"/>
    <mergeCell ref="A1:F1"/>
    <mergeCell ref="D2:F3"/>
    <mergeCell ref="D4:F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REFINARIA (MANUAL)</vt:lpstr>
      <vt:lpstr>REFINARIA (SOMAR PRODUTO)</vt:lpstr>
      <vt:lpstr>ALFAIATE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2026-06-12T21:43:09Z</dcterms:created>
  <dcterms:modified xsi:type="dcterms:W3CDTF">2026-06-12T23:24:18Z</dcterms:modified>
</cp:coreProperties>
</file>