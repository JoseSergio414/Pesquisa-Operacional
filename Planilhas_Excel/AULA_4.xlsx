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Pesquisa operacional\"/>
    </mc:Choice>
  </mc:AlternateContent>
  <xr:revisionPtr revIDLastSave="0" documentId="13_ncr:1_{F1AFDAF7-318C-4D51-A55C-0500B9B62CCE}" xr6:coauthVersionLast="36" xr6:coauthVersionMax="36" xr10:uidLastSave="{00000000-0000-0000-0000-000000000000}"/>
  <bookViews>
    <workbookView xWindow="0" yWindow="0" windowWidth="23040" windowHeight="8940" xr2:uid="{85B451B6-08BD-4A5F-A43D-59DD9FC3EF70}"/>
  </bookViews>
  <sheets>
    <sheet name="QUANT. AVIÕES" sheetId="1" r:id="rId1"/>
  </sheets>
  <definedNames>
    <definedName name="solver_adj" localSheetId="0" hidden="1">'QUANT. AVIÕES'!$C$30:$D$32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'QUANT. AVIÕES'!$C$30:$D$32</definedName>
    <definedName name="solver_lhs2" localSheetId="0" hidden="1">'QUANT. AVIÕES'!$F$28:$F$30</definedName>
    <definedName name="solver_lhs3" localSheetId="0" hidden="1">'QUANT. AVIÕES'!$F$31:$F$32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'QUANT. AVIÕES'!$J$20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1</definedName>
    <definedName name="solver_rel3" localSheetId="0" hidden="1">3</definedName>
    <definedName name="solver_rhs1" localSheetId="0" hidden="1">número inteiro</definedName>
    <definedName name="solver_rhs2" localSheetId="0" hidden="1">'QUANT. AVIÕES'!$I$28:$I$30</definedName>
    <definedName name="solver_rhs3" localSheetId="0" hidden="1">'QUANT. AVIÕES'!$I$31:$I$32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J23" i="1"/>
  <c r="F31" i="1" l="1"/>
  <c r="F32" i="1"/>
  <c r="F30" i="1"/>
  <c r="F29" i="1"/>
  <c r="F28" i="1"/>
</calcChain>
</file>

<file path=xl/sharedStrings.xml><?xml version="1.0" encoding="utf-8"?>
<sst xmlns="http://schemas.openxmlformats.org/spreadsheetml/2006/main" count="45" uniqueCount="27">
  <si>
    <t>i=1</t>
  </si>
  <si>
    <t>i=2</t>
  </si>
  <si>
    <t>1=3</t>
  </si>
  <si>
    <t>B-727</t>
  </si>
  <si>
    <t>DASH 8-200</t>
  </si>
  <si>
    <t>ATR-72</t>
  </si>
  <si>
    <t>PEDIDO DO CLIENTE</t>
  </si>
  <si>
    <t>SP-RJ</t>
  </si>
  <si>
    <t>SP-POA</t>
  </si>
  <si>
    <t>QUANTIDADE</t>
  </si>
  <si>
    <t>CAPACIDADE</t>
  </si>
  <si>
    <t>VARIÁVEIS DE DECISÃO</t>
  </si>
  <si>
    <t>FUNÇÃO OBJETIVO</t>
  </si>
  <si>
    <t>MINIMIZAR</t>
  </si>
  <si>
    <t>CT</t>
  </si>
  <si>
    <t>RESTRIÇÕES</t>
  </si>
  <si>
    <t>≤</t>
  </si>
  <si>
    <t>Quantidades de aviões</t>
  </si>
  <si>
    <t>Pedido do cliente</t>
  </si>
  <si>
    <t>RJ</t>
  </si>
  <si>
    <t>POA</t>
  </si>
  <si>
    <t>TIPO DE AVIÃO</t>
  </si>
  <si>
    <t>j=2</t>
  </si>
  <si>
    <t>J=1</t>
  </si>
  <si>
    <t>QUANTIDADE DE AVIÕES</t>
  </si>
  <si>
    <t>J=2</t>
  </si>
  <si>
    <t>Deverá ser enviado B-727 (3 para SP-RJ), (nenhum para SP-POA), DASH 8-20 (1 para SP-RJ) e (1 para SP-POA) e ATR-72 (nenhum para SP-RJ) e (5 para SP-POA).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</si>
</sst>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Border="1"/>
    <xf numFmtId="0" fontId="1" fillId="4" borderId="0" xfId="0" applyFont="1" applyFill="1" applyBorder="1"/>
    <xf numFmtId="0" fontId="2" fillId="4" borderId="0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wrapText="1"/>
    </xf>
    <xf numFmtId="0" fontId="1" fillId="5" borderId="0" xfId="0" applyFont="1" applyFill="1" applyBorder="1"/>
    <xf numFmtId="0" fontId="1" fillId="5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10</xdr:col>
      <xdr:colOff>0</xdr:colOff>
      <xdr:row>15</xdr:row>
      <xdr:rowOff>152400</xdr:rowOff>
    </xdr:to>
    <xdr:pic>
      <xdr:nvPicPr>
        <xdr:cNvPr id="3" name="Imagem 2" descr="C:\Users\jserg\Desktop\Pesquisa operacional\WhatsApp Image 2026-04-22 at 19.09.56.jpeg">
          <a:extLst>
            <a:ext uri="{FF2B5EF4-FFF2-40B4-BE49-F238E27FC236}">
              <a16:creationId xmlns:a16="http://schemas.microsoft.com/office/drawing/2014/main" id="{E30C6C55-6B93-4006-B1EF-B6D7DCFAB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"/>
          <a:ext cx="9753600" cy="2983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658E-1CD0-40B2-8746-813CAA4B10EE}">
  <dimension ref="A9:L35"/>
  <sheetViews>
    <sheetView showGridLines="0" tabSelected="1" zoomScale="96" zoomScaleNormal="96" workbookViewId="0">
      <selection activeCell="Y36" sqref="Y36"/>
    </sheetView>
  </sheetViews>
  <sheetFormatPr defaultRowHeight="15" x14ac:dyDescent="0.25"/>
  <cols>
    <col min="1" max="1" width="5.42578125" bestFit="1" customWidth="1"/>
    <col min="2" max="2" width="24.28515625" bestFit="1" customWidth="1"/>
    <col min="3" max="3" width="7.140625" bestFit="1" customWidth="1"/>
    <col min="4" max="4" width="9.7109375" bestFit="1" customWidth="1"/>
    <col min="5" max="5" width="16.7109375" bestFit="1" customWidth="1"/>
    <col min="6" max="6" width="16" bestFit="1" customWidth="1"/>
    <col min="7" max="7" width="2.5703125" bestFit="1" customWidth="1"/>
    <col min="8" max="8" width="14.85546875" bestFit="1" customWidth="1"/>
    <col min="9" max="9" width="22.85546875" bestFit="1" customWidth="1"/>
    <col min="10" max="10" width="26.7109375" bestFit="1" customWidth="1"/>
  </cols>
  <sheetData>
    <row r="9" spans="11:12" ht="14.45" customHeight="1" x14ac:dyDescent="0.25">
      <c r="K9" s="1"/>
      <c r="L9" s="1"/>
    </row>
    <row r="10" spans="11:12" ht="14.45" customHeight="1" x14ac:dyDescent="0.25">
      <c r="K10" s="1"/>
      <c r="L10" s="1"/>
    </row>
    <row r="17" spans="1:10" x14ac:dyDescent="0.25">
      <c r="A17" s="6" t="s">
        <v>24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18.75" x14ac:dyDescent="0.3">
      <c r="A19" s="3"/>
      <c r="B19" s="3"/>
      <c r="C19" s="3" t="s">
        <v>23</v>
      </c>
      <c r="D19" s="3" t="s">
        <v>22</v>
      </c>
      <c r="E19" s="3"/>
      <c r="F19" s="3"/>
      <c r="G19" s="3"/>
      <c r="H19" s="2"/>
      <c r="I19" s="2"/>
      <c r="J19" s="2"/>
    </row>
    <row r="20" spans="1:10" ht="18.75" x14ac:dyDescent="0.3">
      <c r="A20" s="3"/>
      <c r="B20" s="3" t="s">
        <v>21</v>
      </c>
      <c r="C20" s="3" t="s">
        <v>7</v>
      </c>
      <c r="D20" s="3" t="s">
        <v>8</v>
      </c>
      <c r="E20" s="3" t="s">
        <v>9</v>
      </c>
      <c r="F20" s="3" t="s">
        <v>10</v>
      </c>
      <c r="G20" s="3"/>
      <c r="H20" s="2"/>
      <c r="I20" s="5" t="s">
        <v>12</v>
      </c>
      <c r="J20" s="9">
        <f>SUMPRODUCT(C21:D23,C30:D32)</f>
        <v>194</v>
      </c>
    </row>
    <row r="21" spans="1:10" ht="18.75" x14ac:dyDescent="0.3">
      <c r="A21" s="3" t="s">
        <v>0</v>
      </c>
      <c r="B21" s="3" t="s">
        <v>3</v>
      </c>
      <c r="C21" s="3">
        <v>23</v>
      </c>
      <c r="D21" s="3">
        <v>58</v>
      </c>
      <c r="E21" s="3">
        <v>3</v>
      </c>
      <c r="F21" s="3">
        <v>45</v>
      </c>
      <c r="G21" s="3"/>
      <c r="H21" s="2"/>
      <c r="I21" s="5" t="s">
        <v>13</v>
      </c>
      <c r="J21" s="9"/>
    </row>
    <row r="22" spans="1:10" ht="18.75" x14ac:dyDescent="0.3">
      <c r="A22" s="3" t="s">
        <v>1</v>
      </c>
      <c r="B22" s="3" t="s">
        <v>4</v>
      </c>
      <c r="C22" s="3">
        <v>15</v>
      </c>
      <c r="D22" s="3">
        <v>30</v>
      </c>
      <c r="E22" s="3">
        <v>3</v>
      </c>
      <c r="F22" s="3">
        <v>22</v>
      </c>
      <c r="G22" s="3"/>
      <c r="H22" s="2"/>
      <c r="I22" s="2"/>
      <c r="J22" s="2"/>
    </row>
    <row r="23" spans="1:10" ht="18.75" x14ac:dyDescent="0.3">
      <c r="A23" s="3" t="s">
        <v>2</v>
      </c>
      <c r="B23" s="3" t="s">
        <v>5</v>
      </c>
      <c r="C23" s="3">
        <v>60</v>
      </c>
      <c r="D23" s="3">
        <v>16</v>
      </c>
      <c r="E23" s="3">
        <v>5</v>
      </c>
      <c r="F23" s="3">
        <v>16</v>
      </c>
      <c r="G23" s="3"/>
      <c r="H23" s="2"/>
      <c r="I23" s="5" t="s">
        <v>14</v>
      </c>
      <c r="J23" s="9">
        <f>C21*C30+D21*D30+C22*C31+D22*D31+C23*C32+D23*D32</f>
        <v>194</v>
      </c>
    </row>
    <row r="24" spans="1:10" ht="18.75" x14ac:dyDescent="0.3">
      <c r="A24" s="3"/>
      <c r="B24" s="3" t="s">
        <v>6</v>
      </c>
      <c r="C24" s="3">
        <v>150</v>
      </c>
      <c r="D24" s="3">
        <v>100</v>
      </c>
      <c r="E24" s="3"/>
      <c r="F24" s="3"/>
      <c r="G24" s="3"/>
      <c r="H24" s="2"/>
      <c r="I24" s="5" t="s">
        <v>13</v>
      </c>
      <c r="J24" s="9"/>
    </row>
    <row r="25" spans="1:10" ht="18.7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8.75" x14ac:dyDescent="0.3">
      <c r="A26" s="6" t="s">
        <v>11</v>
      </c>
      <c r="B26" s="6"/>
      <c r="C26" s="6"/>
      <c r="D26" s="6"/>
      <c r="E26" s="2"/>
      <c r="F26" s="6" t="s">
        <v>15</v>
      </c>
      <c r="G26" s="6"/>
      <c r="H26" s="6"/>
      <c r="I26" s="6"/>
      <c r="J26" s="6"/>
    </row>
    <row r="27" spans="1:10" ht="18.75" x14ac:dyDescent="0.3">
      <c r="A27" s="6"/>
      <c r="B27" s="6"/>
      <c r="C27" s="6"/>
      <c r="D27" s="6"/>
      <c r="E27" s="2"/>
      <c r="F27" s="6"/>
      <c r="G27" s="6"/>
      <c r="H27" s="6"/>
      <c r="I27" s="6"/>
      <c r="J27" s="6"/>
    </row>
    <row r="28" spans="1:10" ht="18.75" x14ac:dyDescent="0.3">
      <c r="A28" s="3"/>
      <c r="B28" s="3"/>
      <c r="C28" s="3" t="s">
        <v>23</v>
      </c>
      <c r="D28" s="3" t="s">
        <v>25</v>
      </c>
      <c r="E28" s="2"/>
      <c r="F28" s="3">
        <f>C30+D30</f>
        <v>3</v>
      </c>
      <c r="G28" s="4" t="s">
        <v>16</v>
      </c>
      <c r="H28" s="3" t="s">
        <v>3</v>
      </c>
      <c r="I28" s="3">
        <v>3</v>
      </c>
      <c r="J28" s="7" t="s">
        <v>17</v>
      </c>
    </row>
    <row r="29" spans="1:10" ht="18.75" x14ac:dyDescent="0.3">
      <c r="A29" s="3"/>
      <c r="B29" s="3" t="s">
        <v>21</v>
      </c>
      <c r="C29" s="3" t="s">
        <v>7</v>
      </c>
      <c r="D29" s="3" t="s">
        <v>8</v>
      </c>
      <c r="E29" s="2"/>
      <c r="F29" s="3">
        <f>C31+D31</f>
        <v>2</v>
      </c>
      <c r="G29" s="4" t="s">
        <v>16</v>
      </c>
      <c r="H29" s="3" t="s">
        <v>4</v>
      </c>
      <c r="I29" s="3">
        <v>3</v>
      </c>
      <c r="J29" s="7"/>
    </row>
    <row r="30" spans="1:10" ht="18.75" x14ac:dyDescent="0.3">
      <c r="A30" s="3" t="s">
        <v>0</v>
      </c>
      <c r="B30" s="3" t="s">
        <v>3</v>
      </c>
      <c r="C30" s="8">
        <v>3</v>
      </c>
      <c r="D30" s="8">
        <v>0</v>
      </c>
      <c r="E30" s="2"/>
      <c r="F30" s="3">
        <f>C32+D32</f>
        <v>5</v>
      </c>
      <c r="G30" s="4" t="s">
        <v>16</v>
      </c>
      <c r="H30" s="3" t="s">
        <v>5</v>
      </c>
      <c r="I30" s="3">
        <v>5</v>
      </c>
      <c r="J30" s="7"/>
    </row>
    <row r="31" spans="1:10" ht="18.75" x14ac:dyDescent="0.3">
      <c r="A31" s="3" t="s">
        <v>1</v>
      </c>
      <c r="B31" s="3" t="s">
        <v>4</v>
      </c>
      <c r="C31" s="8">
        <v>1</v>
      </c>
      <c r="D31" s="8">
        <v>1</v>
      </c>
      <c r="E31" s="2"/>
      <c r="F31" s="3">
        <f>F21*C30+F22*C31+F23*C32</f>
        <v>157</v>
      </c>
      <c r="G31" s="4" t="s">
        <v>16</v>
      </c>
      <c r="H31" s="3" t="s">
        <v>19</v>
      </c>
      <c r="I31" s="3">
        <v>150</v>
      </c>
      <c r="J31" s="7" t="s">
        <v>18</v>
      </c>
    </row>
    <row r="32" spans="1:10" ht="18.75" x14ac:dyDescent="0.3">
      <c r="A32" s="3" t="s">
        <v>2</v>
      </c>
      <c r="B32" s="3" t="s">
        <v>5</v>
      </c>
      <c r="C32" s="8">
        <v>0</v>
      </c>
      <c r="D32" s="8">
        <v>5</v>
      </c>
      <c r="E32" s="2"/>
      <c r="F32" s="3">
        <f>F21*D30+F22*D31+F23*D32</f>
        <v>102</v>
      </c>
      <c r="G32" s="4" t="s">
        <v>16</v>
      </c>
      <c r="H32" s="3" t="s">
        <v>20</v>
      </c>
      <c r="I32" s="3">
        <v>100</v>
      </c>
      <c r="J32" s="7"/>
    </row>
    <row r="33" spans="1:10" ht="18.75" customHeight="1" x14ac:dyDescent="0.25">
      <c r="A33" s="10" t="s">
        <v>26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8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8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</row>
  </sheetData>
  <mergeCells count="8">
    <mergeCell ref="A33:J35"/>
    <mergeCell ref="A17:J18"/>
    <mergeCell ref="J20:J21"/>
    <mergeCell ref="J23:J24"/>
    <mergeCell ref="J28:J30"/>
    <mergeCell ref="J31:J32"/>
    <mergeCell ref="A26:D27"/>
    <mergeCell ref="F26:J2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QUANT. AVIÕES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2026-04-22T22:06:58Z</dcterms:created>
  <dcterms:modified xsi:type="dcterms:W3CDTF">2026-07-01T01:28:38Z</dcterms:modified>
</cp:coreProperties>
</file>