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serg\Desktop\Pesquisa operacional\"/>
    </mc:Choice>
  </mc:AlternateContent>
  <xr:revisionPtr revIDLastSave="0" documentId="13_ncr:1_{3DB95B34-4195-4E7F-A303-0C2B271E84AF}" xr6:coauthVersionLast="36" xr6:coauthVersionMax="36" xr10:uidLastSave="{00000000-0000-0000-0000-000000000000}"/>
  <bookViews>
    <workbookView xWindow="0" yWindow="0" windowWidth="23040" windowHeight="8940" xr2:uid="{85B451B6-08BD-4A5F-A43D-59DD9FC3EF70}"/>
  </bookViews>
  <sheets>
    <sheet name="QUANT. AVIÕES" sheetId="1" r:id="rId1"/>
  </sheets>
  <definedNames>
    <definedName name="solver_adj" localSheetId="0" hidden="1">'QUANT. AVIÕES'!$C$22:$D$24</definedName>
    <definedName name="solver_cvg" localSheetId="0" hidden="1">0.0001</definedName>
    <definedName name="solver_drv" localSheetId="0" hidden="1">1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 hidden="1">'QUANT. AVIÕES'!$C$22:$D$24</definedName>
    <definedName name="solver_lhs2" localSheetId="0" hidden="1">'QUANT. AVIÕES'!$F$20:$F$22</definedName>
    <definedName name="solver_lhs3" localSheetId="0" hidden="1">'QUANT. AVIÕES'!$F$23:$F$24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3</definedName>
    <definedName name="solver_nwt" localSheetId="0" hidden="1">1</definedName>
    <definedName name="solver_opt" localSheetId="0" hidden="1">'QUANT. AVIÕES'!$J$12</definedName>
    <definedName name="solver_pre" localSheetId="0" hidden="1">0.000001</definedName>
    <definedName name="solver_rbv" localSheetId="0" hidden="1">1</definedName>
    <definedName name="solver_rel1" localSheetId="0" hidden="1">4</definedName>
    <definedName name="solver_rel2" localSheetId="0" hidden="1">1</definedName>
    <definedName name="solver_rel3" localSheetId="0" hidden="1">3</definedName>
    <definedName name="solver_rhs1" localSheetId="0" hidden="1">número inteiro</definedName>
    <definedName name="solver_rhs2" localSheetId="0" hidden="1">'QUANT. AVIÕES'!$I$20:$I$22</definedName>
    <definedName name="solver_rhs3" localSheetId="0" hidden="1">'QUANT. AVIÕES'!$I$23:$I$24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2</definedName>
    <definedName name="solver_val" localSheetId="0" hidden="1">0</definedName>
    <definedName name="solver_ver" localSheetId="0" hidden="1">3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3" i="1" l="1"/>
  <c r="F24" i="1"/>
  <c r="F22" i="1"/>
  <c r="F21" i="1"/>
  <c r="F20" i="1"/>
  <c r="J15" i="1"/>
  <c r="J12" i="1" l="1"/>
</calcChain>
</file>

<file path=xl/sharedStrings.xml><?xml version="1.0" encoding="utf-8"?>
<sst xmlns="http://schemas.openxmlformats.org/spreadsheetml/2006/main" count="44" uniqueCount="26">
  <si>
    <t>i=1</t>
  </si>
  <si>
    <t>i=2</t>
  </si>
  <si>
    <t>1=3</t>
  </si>
  <si>
    <t>B-727</t>
  </si>
  <si>
    <t>DASH 8-200</t>
  </si>
  <si>
    <t>ATR-72</t>
  </si>
  <si>
    <t>PEDIDO DO CLIENTE</t>
  </si>
  <si>
    <t>SP-RJ</t>
  </si>
  <si>
    <t>SP-POA</t>
  </si>
  <si>
    <t>QUANTIDADE</t>
  </si>
  <si>
    <t>CAPACIDADE</t>
  </si>
  <si>
    <t>VARIÁVEIS DE DECISÃO</t>
  </si>
  <si>
    <t>FUNÇÃO OBJETIVO</t>
  </si>
  <si>
    <t>MINIMIZAR</t>
  </si>
  <si>
    <t>CT</t>
  </si>
  <si>
    <t>RESTRIÇÕES</t>
  </si>
  <si>
    <t>≤</t>
  </si>
  <si>
    <t>Quantidades de aviões</t>
  </si>
  <si>
    <t>Pedido do cliente</t>
  </si>
  <si>
    <t>RJ</t>
  </si>
  <si>
    <t>POA</t>
  </si>
  <si>
    <t>TIPO DE AVIÃO</t>
  </si>
  <si>
    <t>j=2</t>
  </si>
  <si>
    <t>J=1</t>
  </si>
  <si>
    <t>QUANTIDADE DE AVIÕES</t>
  </si>
  <si>
    <t>J=2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</si>
</sst>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 wrapText="1"/>
    </xf>
    <xf numFmtId="0" fontId="0" fillId="0" borderId="0" xfId="0" applyAlignment="1">
      <alignment vertical="center" wrapText="1"/>
    </xf>
    <xf numFmtId="0" fontId="1" fillId="2" borderId="0" xfId="0" applyFont="1" applyFill="1" applyBorder="1"/>
    <xf numFmtId="0" fontId="1" fillId="3" borderId="0" xfId="0" applyFont="1" applyFill="1" applyBorder="1" applyAlignment="1">
      <alignment horizontal="center" vertical="center" wrapText="1"/>
    </xf>
    <xf numFmtId="0" fontId="1" fillId="4" borderId="0" xfId="0" applyFont="1" applyFill="1" applyBorder="1"/>
    <xf numFmtId="0" fontId="2" fillId="4" borderId="0" xfId="0" applyFont="1" applyFill="1" applyBorder="1"/>
    <xf numFmtId="0" fontId="1" fillId="4" borderId="0" xfId="0" applyFont="1" applyFill="1" applyBorder="1" applyAlignment="1">
      <alignment horizontal="center" wrapText="1"/>
    </xf>
    <xf numFmtId="0" fontId="1" fillId="4" borderId="0" xfId="0" applyFont="1" applyFill="1" applyBorder="1" applyAlignment="1">
      <alignment horizontal="center"/>
    </xf>
    <xf numFmtId="0" fontId="1" fillId="3" border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7620</xdr:rowOff>
    </xdr:from>
    <xdr:to>
      <xdr:col>10</xdr:col>
      <xdr:colOff>0</xdr:colOff>
      <xdr:row>7</xdr:row>
      <xdr:rowOff>99060</xdr:rowOff>
    </xdr:to>
    <xdr:pic>
      <xdr:nvPicPr>
        <xdr:cNvPr id="3" name="Imagem 2" descr="C:\Users\jserg\Desktop\Pesquisa operacional\WhatsApp Image 2026-04-22 at 19.09.56.jpeg">
          <a:extLst>
            <a:ext uri="{FF2B5EF4-FFF2-40B4-BE49-F238E27FC236}">
              <a16:creationId xmlns:a16="http://schemas.microsoft.com/office/drawing/2014/main" id="{E30C6C55-6B93-4006-B1EF-B6D7DCFAB6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20"/>
          <a:ext cx="8755380" cy="1371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3658E-1CD0-40B2-8746-813CAA4B10EE}">
  <dimension ref="A9:P26"/>
  <sheetViews>
    <sheetView showGridLines="0" tabSelected="1" workbookViewId="0">
      <selection activeCell="K1" sqref="K1"/>
    </sheetView>
  </sheetViews>
  <sheetFormatPr defaultRowHeight="14.4" x14ac:dyDescent="0.3"/>
  <cols>
    <col min="1" max="1" width="16.77734375" bestFit="1" customWidth="1"/>
    <col min="2" max="2" width="22.109375" bestFit="1" customWidth="1"/>
    <col min="3" max="3" width="5.33203125" bestFit="1" customWidth="1"/>
    <col min="4" max="4" width="10.44140625" bestFit="1" customWidth="1"/>
    <col min="5" max="5" width="12.21875" bestFit="1" customWidth="1"/>
    <col min="6" max="6" width="11.5546875" bestFit="1" customWidth="1"/>
    <col min="7" max="7" width="10.5546875" bestFit="1" customWidth="1"/>
    <col min="9" max="9" width="20.88671875" bestFit="1" customWidth="1"/>
  </cols>
  <sheetData>
    <row r="9" spans="1:12" ht="14.4" customHeight="1" x14ac:dyDescent="0.3">
      <c r="A9" s="4" t="s">
        <v>24</v>
      </c>
      <c r="B9" s="4"/>
      <c r="C9" s="4"/>
      <c r="D9" s="4"/>
      <c r="E9" s="4"/>
      <c r="F9" s="4"/>
      <c r="G9" s="4"/>
      <c r="H9" s="4"/>
      <c r="I9" s="4"/>
      <c r="J9" s="4"/>
      <c r="K9" s="2"/>
      <c r="L9" s="2"/>
    </row>
    <row r="10" spans="1:12" ht="14.4" customHeight="1" x14ac:dyDescent="0.3">
      <c r="A10" s="4"/>
      <c r="B10" s="4"/>
      <c r="C10" s="4"/>
      <c r="D10" s="4"/>
      <c r="E10" s="4"/>
      <c r="F10" s="4"/>
      <c r="G10" s="4"/>
      <c r="H10" s="4"/>
      <c r="I10" s="4"/>
      <c r="J10" s="4"/>
      <c r="K10" s="2"/>
      <c r="L10" s="2"/>
    </row>
    <row r="11" spans="1:12" ht="18" x14ac:dyDescent="0.35">
      <c r="A11" s="5"/>
      <c r="B11" s="5"/>
      <c r="C11" s="5" t="s">
        <v>23</v>
      </c>
      <c r="D11" s="5" t="s">
        <v>22</v>
      </c>
      <c r="E11" s="5"/>
      <c r="F11" s="5"/>
      <c r="G11" s="5"/>
      <c r="H11" s="3"/>
      <c r="I11" s="3"/>
      <c r="J11" s="3"/>
    </row>
    <row r="12" spans="1:12" ht="18" x14ac:dyDescent="0.35">
      <c r="A12" s="5"/>
      <c r="B12" s="5" t="s">
        <v>21</v>
      </c>
      <c r="C12" s="5" t="s">
        <v>7</v>
      </c>
      <c r="D12" s="5" t="s">
        <v>8</v>
      </c>
      <c r="E12" s="5" t="s">
        <v>9</v>
      </c>
      <c r="F12" s="5" t="s">
        <v>10</v>
      </c>
      <c r="G12" s="5"/>
      <c r="H12" s="3"/>
      <c r="I12" s="9" t="s">
        <v>12</v>
      </c>
      <c r="J12" s="8">
        <f>SUMPRODUCT(C13:D15,C22:D24)</f>
        <v>194</v>
      </c>
    </row>
    <row r="13" spans="1:12" ht="18" x14ac:dyDescent="0.35">
      <c r="A13" s="5" t="s">
        <v>0</v>
      </c>
      <c r="B13" s="5" t="s">
        <v>3</v>
      </c>
      <c r="C13" s="5">
        <v>23</v>
      </c>
      <c r="D13" s="5">
        <v>58</v>
      </c>
      <c r="E13" s="5">
        <v>3</v>
      </c>
      <c r="F13" s="5">
        <v>45</v>
      </c>
      <c r="G13" s="5"/>
      <c r="H13" s="3"/>
      <c r="I13" s="9" t="s">
        <v>13</v>
      </c>
      <c r="J13" s="8"/>
    </row>
    <row r="14" spans="1:12" ht="18" x14ac:dyDescent="0.35">
      <c r="A14" s="5" t="s">
        <v>1</v>
      </c>
      <c r="B14" s="5" t="s">
        <v>4</v>
      </c>
      <c r="C14" s="5">
        <v>15</v>
      </c>
      <c r="D14" s="5">
        <v>30</v>
      </c>
      <c r="E14" s="5">
        <v>3</v>
      </c>
      <c r="F14" s="5">
        <v>22</v>
      </c>
      <c r="G14" s="5"/>
      <c r="H14" s="3"/>
      <c r="I14" s="3"/>
      <c r="J14" s="3"/>
    </row>
    <row r="15" spans="1:12" ht="18" x14ac:dyDescent="0.35">
      <c r="A15" s="5" t="s">
        <v>2</v>
      </c>
      <c r="B15" s="5" t="s">
        <v>5</v>
      </c>
      <c r="C15" s="5">
        <v>60</v>
      </c>
      <c r="D15" s="5">
        <v>16</v>
      </c>
      <c r="E15" s="5">
        <v>5</v>
      </c>
      <c r="F15" s="5">
        <v>16</v>
      </c>
      <c r="G15" s="5"/>
      <c r="H15" s="3"/>
      <c r="I15" s="9" t="s">
        <v>14</v>
      </c>
      <c r="J15" s="8">
        <f>C13*C22+D13*D22+C14*C23+D14*D23+C15*C24+D15*D24</f>
        <v>194</v>
      </c>
    </row>
    <row r="16" spans="1:12" ht="18" x14ac:dyDescent="0.35">
      <c r="A16" s="5"/>
      <c r="B16" s="5" t="s">
        <v>6</v>
      </c>
      <c r="C16" s="5">
        <v>150</v>
      </c>
      <c r="D16" s="5">
        <v>100</v>
      </c>
      <c r="E16" s="5"/>
      <c r="F16" s="5"/>
      <c r="G16" s="5"/>
      <c r="H16" s="3"/>
      <c r="I16" s="9" t="s">
        <v>13</v>
      </c>
      <c r="J16" s="8"/>
    </row>
    <row r="17" spans="1:16" ht="18" x14ac:dyDescent="0.35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6" ht="18" x14ac:dyDescent="0.35">
      <c r="A18" s="4" t="s">
        <v>11</v>
      </c>
      <c r="B18" s="4"/>
      <c r="C18" s="4"/>
      <c r="D18" s="4"/>
      <c r="E18" s="3"/>
      <c r="F18" s="4" t="s">
        <v>15</v>
      </c>
      <c r="G18" s="4"/>
      <c r="H18" s="4"/>
      <c r="I18" s="4"/>
      <c r="J18" s="4"/>
    </row>
    <row r="19" spans="1:16" ht="18" x14ac:dyDescent="0.35">
      <c r="A19" s="4"/>
      <c r="B19" s="4"/>
      <c r="C19" s="4"/>
      <c r="D19" s="4"/>
      <c r="E19" s="3"/>
      <c r="F19" s="4"/>
      <c r="G19" s="4"/>
      <c r="H19" s="4"/>
      <c r="I19" s="4"/>
      <c r="J19" s="4"/>
    </row>
    <row r="20" spans="1:16" ht="18" x14ac:dyDescent="0.35">
      <c r="A20" s="5"/>
      <c r="B20" s="5"/>
      <c r="C20" s="5" t="s">
        <v>23</v>
      </c>
      <c r="D20" s="5" t="s">
        <v>25</v>
      </c>
      <c r="E20" s="3"/>
      <c r="F20" s="5">
        <f>C22+D22</f>
        <v>3</v>
      </c>
      <c r="G20" s="6" t="s">
        <v>16</v>
      </c>
      <c r="H20" s="5" t="s">
        <v>3</v>
      </c>
      <c r="I20" s="5">
        <v>3</v>
      </c>
      <c r="J20" s="7" t="s">
        <v>17</v>
      </c>
    </row>
    <row r="21" spans="1:16" ht="18" x14ac:dyDescent="0.35">
      <c r="A21" s="5"/>
      <c r="B21" s="5" t="s">
        <v>21</v>
      </c>
      <c r="C21" s="5" t="s">
        <v>7</v>
      </c>
      <c r="D21" s="5" t="s">
        <v>8</v>
      </c>
      <c r="E21" s="3"/>
      <c r="F21" s="5">
        <f>C23+D23</f>
        <v>2</v>
      </c>
      <c r="G21" s="6" t="s">
        <v>16</v>
      </c>
      <c r="H21" s="5" t="s">
        <v>4</v>
      </c>
      <c r="I21" s="5">
        <v>3</v>
      </c>
      <c r="J21" s="7"/>
    </row>
    <row r="22" spans="1:16" ht="18" x14ac:dyDescent="0.35">
      <c r="A22" s="5" t="s">
        <v>0</v>
      </c>
      <c r="B22" s="5" t="s">
        <v>3</v>
      </c>
      <c r="C22" s="5">
        <v>3</v>
      </c>
      <c r="D22" s="5">
        <v>0</v>
      </c>
      <c r="E22" s="3"/>
      <c r="F22" s="5">
        <f>C24+D24</f>
        <v>5</v>
      </c>
      <c r="G22" s="6" t="s">
        <v>16</v>
      </c>
      <c r="H22" s="5" t="s">
        <v>5</v>
      </c>
      <c r="I22" s="5">
        <v>5</v>
      </c>
      <c r="J22" s="7"/>
    </row>
    <row r="23" spans="1:16" ht="18" x14ac:dyDescent="0.35">
      <c r="A23" s="5" t="s">
        <v>1</v>
      </c>
      <c r="B23" s="5" t="s">
        <v>4</v>
      </c>
      <c r="C23" s="5">
        <v>1</v>
      </c>
      <c r="D23" s="5">
        <v>1</v>
      </c>
      <c r="E23" s="3"/>
      <c r="F23" s="5">
        <f>F13*C22+F14*C23+F15*C24</f>
        <v>157</v>
      </c>
      <c r="G23" s="6" t="s">
        <v>16</v>
      </c>
      <c r="H23" s="5" t="s">
        <v>19</v>
      </c>
      <c r="I23" s="5">
        <v>150</v>
      </c>
      <c r="J23" s="7" t="s">
        <v>18</v>
      </c>
    </row>
    <row r="24" spans="1:16" ht="18" x14ac:dyDescent="0.35">
      <c r="A24" s="5" t="s">
        <v>2</v>
      </c>
      <c r="B24" s="5" t="s">
        <v>5</v>
      </c>
      <c r="C24" s="5">
        <v>0</v>
      </c>
      <c r="D24" s="5">
        <v>5</v>
      </c>
      <c r="E24" s="3"/>
      <c r="F24" s="5">
        <f>F13*D22+F14*D23+F15*D24</f>
        <v>102</v>
      </c>
      <c r="G24" s="6" t="s">
        <v>16</v>
      </c>
      <c r="H24" s="5" t="s">
        <v>20</v>
      </c>
      <c r="I24" s="5">
        <v>100</v>
      </c>
      <c r="J24" s="7"/>
    </row>
    <row r="26" spans="1:16" x14ac:dyDescent="0.3">
      <c r="P26" s="1"/>
    </row>
  </sheetData>
  <mergeCells count="7">
    <mergeCell ref="A9:J10"/>
    <mergeCell ref="J12:J13"/>
    <mergeCell ref="J15:J16"/>
    <mergeCell ref="J20:J22"/>
    <mergeCell ref="J23:J24"/>
    <mergeCell ref="A18:D19"/>
    <mergeCell ref="F18:J19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QUANT. AVIÕES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Sérgio dos Santos</dc:creator>
  <cp:lastModifiedBy>José Sérgio dos Santos</cp:lastModifiedBy>
  <dcterms:created xsi:type="dcterms:W3CDTF">2026-04-22T22:06:58Z</dcterms:created>
  <dcterms:modified xsi:type="dcterms:W3CDTF">2026-04-23T00:34:33Z</dcterms:modified>
</cp:coreProperties>
</file>